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8" documentId="11_B6B2A909D084B7B2788DF404313B99641CB691CD" xr6:coauthVersionLast="47" xr6:coauthVersionMax="47" xr10:uidLastSave="{13F926B9-E340-480D-8459-7AD3FA98ECC5}"/>
  <bookViews>
    <workbookView xWindow="0" yWindow="0" windowWidth="0" windowHeight="0" activeTab="1" xr2:uid="{00000000-000D-0000-FFFF-FFFF00000000}"/>
  </bookViews>
  <sheets>
    <sheet name="All Dates" sheetId="1" r:id="rId1"/>
    <sheet name="Maine Dates Scored ≥ 9" sheetId="3" r:id="rId2"/>
    <sheet name="North-West Atlantic Dates Score" sheetId="4" r:id="rId3"/>
    <sheet name="North-East Atlantic Dates Score" sheetId="5" r:id="rId4"/>
    <sheet name="Entire Range Dates Scored &lt; 9" sheetId="6" r:id="rId5"/>
    <sheet name="Entire Range Dates Scored ≥ 9" sheetId="7" r:id="rId6"/>
    <sheet name="All Thinned Dates" sheetId="8" r:id="rId7"/>
    <sheet name="All North-West Atlantic Dates" sheetId="9" r:id="rId8"/>
    <sheet name="North-West Atlantic Thinned Dat" sheetId="10" r:id="rId9"/>
    <sheet name="All North-East Atlantic Dates" sheetId="11" r:id="rId10"/>
    <sheet name="North-East Atlantic Thinned Dat" sheetId="12" r:id="rId11"/>
    <sheet name="All Entire Range Dates" sheetId="13" r:id="rId12"/>
    <sheet name="Maine Thinned Dates" sheetId="14" r:id="rId13"/>
    <sheet name="All Maine Dates" sheetId="15" r:id="rId14"/>
    <sheet name="GRIWM Extinction Estimates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4" i="1" l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<sst xmlns="http://schemas.openxmlformats.org/spreadsheetml/2006/main" count="2167" uniqueCount="480">
  <si>
    <t>Institution</t>
  </si>
  <si>
    <t>Locality</t>
  </si>
  <si>
    <t>Date (CE)</t>
  </si>
  <si>
    <t>Site Name</t>
  </si>
  <si>
    <t>Latitude</t>
  </si>
  <si>
    <t>Longitude</t>
  </si>
  <si>
    <t>Material</t>
  </si>
  <si>
    <t>Terrestrial/Marine</t>
  </si>
  <si>
    <t>Cultural Period</t>
  </si>
  <si>
    <t xml:space="preserve">Stratum </t>
  </si>
  <si>
    <t>Feature</t>
  </si>
  <si>
    <t>Radiocarbon Date (BP)</t>
  </si>
  <si>
    <t>Error (±)</t>
  </si>
  <si>
    <t>Calibration Curve</t>
  </si>
  <si>
    <t>Marine ΔR</t>
  </si>
  <si>
    <t>Uncertainty</t>
  </si>
  <si>
    <t>Probability %</t>
  </si>
  <si>
    <t>μ (cal BP)</t>
  </si>
  <si>
    <t>σ</t>
  </si>
  <si>
    <t>Median</t>
  </si>
  <si>
    <t>from_95.4</t>
  </si>
  <si>
    <t>to_95.4</t>
  </si>
  <si>
    <t>Score</t>
  </si>
  <si>
    <t>Score Notes</t>
  </si>
  <si>
    <t>Institution/Collection #</t>
  </si>
  <si>
    <t>Lab #</t>
  </si>
  <si>
    <t>Notes</t>
  </si>
  <si>
    <t>References</t>
  </si>
  <si>
    <t>University of Maine</t>
  </si>
  <si>
    <t>Maine</t>
  </si>
  <si>
    <t>The Basin (15.20)</t>
  </si>
  <si>
    <t>Marine shell</t>
  </si>
  <si>
    <t>Marine</t>
  </si>
  <si>
    <t>Area B</t>
  </si>
  <si>
    <t xml:space="preserve">Feature 4 </t>
  </si>
  <si>
    <t>Marine 20</t>
  </si>
  <si>
    <t xml:space="preserve">strong association, same feature </t>
  </si>
  <si>
    <t>Beta-34749</t>
  </si>
  <si>
    <t>Nathan D. Hamilton, John P. Mosher. The Basin Site and the Archaeology of an Evolving Marine Inlet on the New Meadows River, Casco Bay. Augusta, Maine: Maine Historic Preservation Commission; 1994. Report No.: 2829.</t>
  </si>
  <si>
    <t>Maine State Museum</t>
  </si>
  <si>
    <t>Goddard (30.42)</t>
  </si>
  <si>
    <t>Charcoal</t>
  </si>
  <si>
    <t>Terrestrial</t>
  </si>
  <si>
    <t>Late Ceramic</t>
  </si>
  <si>
    <t>Burial 8 Pit II</t>
  </si>
  <si>
    <t>IntCal 20</t>
  </si>
  <si>
    <t>NA</t>
  </si>
  <si>
    <t>GX-18009-AMS</t>
  </si>
  <si>
    <t>Cox SL. Goddard: A Prehistoric Village on Blue Hill Bay, Maine. Brooklin, Maine: Maine Historic Preservation Commission; 2021. 130 p. (Occasional Publications in Maine Archaeology).</t>
  </si>
  <si>
    <t>New York State Museum</t>
  </si>
  <si>
    <t>Massachusetts</t>
  </si>
  <si>
    <t>Hornblower II (M49SE-28)</t>
  </si>
  <si>
    <t xml:space="preserve">Charcoal </t>
  </si>
  <si>
    <t>Late Archaic/Woodland</t>
  </si>
  <si>
    <t>1A</t>
  </si>
  <si>
    <t>F1</t>
  </si>
  <si>
    <t>Y-1528</t>
  </si>
  <si>
    <t>great auk found in same stratum</t>
  </si>
  <si>
    <t>Watson JE. Human Interactions with the Late Holocene Landscape on Martha’s Vineyard [PhD]. [Albany, New York]: University of Albany, State University of New York; 2019.</t>
  </si>
  <si>
    <t>185S50W Fea M45</t>
  </si>
  <si>
    <t>SI-4253</t>
  </si>
  <si>
    <t>40S90W Fea M69L1</t>
  </si>
  <si>
    <t>SI-4250</t>
  </si>
  <si>
    <t>Museum of Comparative Zoology</t>
  </si>
  <si>
    <t>Indiantown Island (16.7)</t>
  </si>
  <si>
    <t>CU3, CP5</t>
  </si>
  <si>
    <t>GX-21515</t>
  </si>
  <si>
    <t>Spiess, Arthur, Sobolik, Kristin, Crader, Diana, Mosher, John, Wilson, Deborah. Cod, Clams and Deer: The Food Remains from Indiantown Island. Archaeology of Eastern North America. 2006;34:141–87.; Wilson DB. The Indiantown Island Archaeological Project. Boothbay Harbor, Maine: Boothbay Region Land Trust, Inc.; 1998.</t>
  </si>
  <si>
    <t>GX-21517</t>
  </si>
  <si>
    <t>Maine Historic Preservation Commission</t>
  </si>
  <si>
    <t>Great Diamond Island</t>
  </si>
  <si>
    <t>Late Woodland</t>
  </si>
  <si>
    <t>Area B, Stratum IIIb</t>
  </si>
  <si>
    <t>Feature VII</t>
  </si>
  <si>
    <t>feature not associated with great auk</t>
  </si>
  <si>
    <t>Dic-2425</t>
  </si>
  <si>
    <t>Hamilton ND. Maritime Adaptation In Western Maine: The Great Diamond Island Site [PhD]. University of Southern Maine; 1985.</t>
  </si>
  <si>
    <t>University of Bergen</t>
  </si>
  <si>
    <t>Norway</t>
  </si>
  <si>
    <t>Kobbehelleren</t>
  </si>
  <si>
    <t>Great Auk</t>
  </si>
  <si>
    <t>TUa-1535</t>
  </si>
  <si>
    <t>latest date in Norway</t>
  </si>
  <si>
    <t>Anne Karin Hufthammer, Karl Ove Hufthammer. The great auk in Norway: From common to locally extinct. International Journal of Osteoarchaeology. 2022;33(4):588–97.; Heaton TJ, Köhler P, Butzin M, Bard E, Reimer RW, Austin WEN, et al. Marine20—The Marine Radiocarbon Age Calibration Curve (0–55,000 cal BP). Radiocarbon. 2020 Aug;62(4):779–820.</t>
  </si>
  <si>
    <t>Turner Farm</t>
  </si>
  <si>
    <t>SI 4238</t>
  </si>
  <si>
    <t>Bourque BJ. Diversity and complexity in prehistoric maritime societies : a Gulf of Maine perspective. New York: Plenum Press; 1995.</t>
  </si>
  <si>
    <t>15/20N40W Fea4</t>
  </si>
  <si>
    <t>GX-25538</t>
  </si>
  <si>
    <t>CU4, CP4, 5</t>
  </si>
  <si>
    <t>GX-21514</t>
  </si>
  <si>
    <t>University of New Brunswick</t>
  </si>
  <si>
    <t>Canada</t>
  </si>
  <si>
    <t>Partridge Island (BgDr-48)</t>
  </si>
  <si>
    <t>Shell, gravel</t>
  </si>
  <si>
    <t>Middle Woodland</t>
  </si>
  <si>
    <t>Component A, 2c</t>
  </si>
  <si>
    <t>B-3968</t>
  </si>
  <si>
    <t>Bishop JC. The Partridge Island Site: Early and Middle Woodland-Related Assemblages in Passamaquoddy Bay. McMaster University. 1983.</t>
  </si>
  <si>
    <t>Wood</t>
  </si>
  <si>
    <t>base of CU5, CP4</t>
  </si>
  <si>
    <t>same stratum</t>
  </si>
  <si>
    <t>GX-21516</t>
  </si>
  <si>
    <t>GX 2465</t>
  </si>
  <si>
    <t xml:space="preserve">Townsend CW. Bones of great auk at Mt. Desert Island. Maine Orn Soc. 1907;9(82).; Spiess A, Lewis R. The Turner Farm Fauna: 5000 Years of Hunting and Fishing in Penobscot Bay, Maine. The Maine State Museum, Maine Historic Preservation Commission, and The Maine Archaeological Society, Augusta; 2001. (Occasional Publications in Maine Archaeology Eleven). </t>
  </si>
  <si>
    <t>O. virginianus</t>
  </si>
  <si>
    <t>AMS</t>
  </si>
  <si>
    <t>C-185714, HB-1361</t>
  </si>
  <si>
    <t>I-12381</t>
  </si>
  <si>
    <t>Jennifer C. Bishop, David W. Black. The Lands Edge Also: Culture History and Seasonality at the Partridge Island Site. Canadian Journal of Archaeology. 1988;12:17–37.</t>
  </si>
  <si>
    <t>Todd (17-11)</t>
  </si>
  <si>
    <t>Middle Ceramic</t>
  </si>
  <si>
    <t>F2</t>
  </si>
  <si>
    <t>same feature</t>
  </si>
  <si>
    <t>Beta-11606</t>
  </si>
  <si>
    <t>ID code is 5751, cat no 356, level 7, square N17W58</t>
  </si>
  <si>
    <t>Sommer JD. Investigation of the Faunal Remains from the Todd Site (17-11), Muscongus Bay, Maine [PhD]. [Orono, Maine]: University of Maine; 1997.; Karen E. Mack. Archaeological Investigations at the Todd Site (17-11), Muscongus Bay, Maine [M.S.]. [Orono, Maine]: University of Maine; 1994.</t>
  </si>
  <si>
    <t>Trace organics</t>
  </si>
  <si>
    <t>GX-21745-AMS</t>
  </si>
  <si>
    <t>OxCal 4.3 calibration</t>
  </si>
  <si>
    <t>Feature V</t>
  </si>
  <si>
    <t>Dic-2426</t>
  </si>
  <si>
    <t>Memorial University of Newfoundland</t>
  </si>
  <si>
    <t xml:space="preserve">Newfoundland </t>
  </si>
  <si>
    <t>Phillip's Garden</t>
  </si>
  <si>
    <t>F2T</t>
  </si>
  <si>
    <t>great auk found in same feature</t>
  </si>
  <si>
    <t>Beta-19084</t>
  </si>
  <si>
    <t>normalized</t>
  </si>
  <si>
    <t>Hodgetts LM, Renouf MAP, Murray MS, McCuaig-Balkwill D, Howse L. Changing Subsistence Practices at the Dorset Paleoeskimo Site of Phillip’s Garden, Newfoundland. Arctic Anthropology. 2003 Jan 1;40(1):106–20.; CARD [Internet]. [cited 2024 Mar 27]. Available from: https://www.canadianarchaeology.ca/</t>
  </si>
  <si>
    <t>Society of Antiquaries of Scotland</t>
  </si>
  <si>
    <t>Hornish Point, Scotland</t>
  </si>
  <si>
    <t>Hornish Point</t>
  </si>
  <si>
    <t>Periwinkle</t>
  </si>
  <si>
    <t>Block 13, layer 3</t>
  </si>
  <si>
    <t>unstated, assume radiometric</t>
  </si>
  <si>
    <t>GU-2015</t>
  </si>
  <si>
    <t>H. F. James, R. P. J. McCullagh. Excavations at Hornish Point. In: Bronze Age farms and Iron Age farm mounds of the Outer Hebrides. Edinburgh, Scotland: Society of Antiquaries of Scotland; 2003. p. 72–103.</t>
  </si>
  <si>
    <t>Block 19, layer 257</t>
  </si>
  <si>
    <t>GU-2024</t>
  </si>
  <si>
    <t>Feature X</t>
  </si>
  <si>
    <t>Dic-2424</t>
  </si>
  <si>
    <t>Abbe Museum</t>
  </si>
  <si>
    <t>Ruth Moore (31.17), Great Gott Island, Blue Hill Bay</t>
  </si>
  <si>
    <t>Bone collagen</t>
  </si>
  <si>
    <t>early Middle Ceramic</t>
  </si>
  <si>
    <t>63829/CAMS Beta-7860</t>
  </si>
  <si>
    <t>Unclear what strata the Great Auk was in</t>
  </si>
  <si>
    <t>Mann AE. Dietary Change Among Canis Familiaris During the Late Ceramic Period on the Maine-Maritime Peninsula: A Case Study From the Holmes Point West Site (ME 62-8), Machias Bay, Maine [Internet] [PhD]. University of Maine; 2021. Available from: https://digitalcommons.library.umaine.edu/etd/3401; Cox SL, Lawless G, Kopec D. The Indian shell heap: archaeology of the Ruth Moore site. Nobleboro, Me.: Blackberry Books; 1994.</t>
  </si>
  <si>
    <t>Block 19, layer 272</t>
  </si>
  <si>
    <t>GU-2025</t>
  </si>
  <si>
    <t>Area C, Stratum II/I</t>
  </si>
  <si>
    <t>unit S21R0, Middle Woodland</t>
  </si>
  <si>
    <t>Beta-6852</t>
  </si>
  <si>
    <t>CARD [Internet]. [cited 2024 Mar 27]. Available from: https://www.canadianarchaeology.ca/</t>
  </si>
  <si>
    <t>Block 12</t>
  </si>
  <si>
    <t>GU-2018</t>
  </si>
  <si>
    <t>40S90W Fea M69L3</t>
  </si>
  <si>
    <t>SI-4251</t>
  </si>
  <si>
    <t>Area C, Stratum VII</t>
  </si>
  <si>
    <t>GX-6880</t>
  </si>
  <si>
    <t>F49</t>
  </si>
  <si>
    <t>Beta-42967</t>
  </si>
  <si>
    <r>
      <rPr>
        <sz val="12"/>
        <rFont val="Times New Roman"/>
      </rPr>
      <t xml:space="preserve">Hodgetts LM, Renouf MAP, Murray MS, McCuaig-Balkwill D, Howse L. Changing Subsistence Practices at the Dorset Paleoeskimo Site of Phillip’s Garden, Newfoundland. Arctic Anthropology. 2003 Jan 1;40(1):106–20.; CARD [Internet]. [cited 2024 Mar 27]. Available from: </t>
    </r>
    <r>
      <rPr>
        <u/>
        <sz val="12"/>
        <color rgb="FF1155CC"/>
        <rFont val="Times New Roman"/>
      </rPr>
      <t>https://www.canadianarchaeology.ca/</t>
    </r>
  </si>
  <si>
    <t>Birmingham University</t>
  </si>
  <si>
    <t>Perwick Bay, Isle of Man</t>
  </si>
  <si>
    <t>Traie Goonan cave</t>
  </si>
  <si>
    <t>SC204673</t>
  </si>
  <si>
    <t>radiometric</t>
  </si>
  <si>
    <t>Birm-271</t>
  </si>
  <si>
    <t>F. W. Shotton, R. E. G. Williams. Birmingham University Radiocarbon Dates VI. Radiocarbon. 1973;15(1):1–12.</t>
  </si>
  <si>
    <t>Robert S. Peabody Institute of Archaeology</t>
  </si>
  <si>
    <t>Frisby Butler</t>
  </si>
  <si>
    <t>Phocidae sp.</t>
  </si>
  <si>
    <t>Stratum 2</t>
  </si>
  <si>
    <t>F15</t>
  </si>
  <si>
    <t>FB-10464</t>
  </si>
  <si>
    <t>C-190570</t>
  </si>
  <si>
    <t>SI 4240</t>
  </si>
  <si>
    <t>FB-10286</t>
  </si>
  <si>
    <t>C-186165</t>
  </si>
  <si>
    <t>C-185709</t>
  </si>
  <si>
    <t>FB-9807</t>
  </si>
  <si>
    <t>C-192980</t>
  </si>
  <si>
    <t>Stratum 3</t>
  </si>
  <si>
    <t>FB-9820</t>
  </si>
  <si>
    <t>C-190568</t>
  </si>
  <si>
    <t>Carbonised seeds</t>
  </si>
  <si>
    <t>Block 19, many layers</t>
  </si>
  <si>
    <t>GU-2549</t>
  </si>
  <si>
    <t>should seeds be scored 1 for material?</t>
  </si>
  <si>
    <t>SI 4245</t>
  </si>
  <si>
    <t>SI 2407</t>
  </si>
  <si>
    <t>SI 2398</t>
  </si>
  <si>
    <t>FB-10354</t>
  </si>
  <si>
    <t>C-185711</t>
  </si>
  <si>
    <t>4, B2GF</t>
  </si>
  <si>
    <t>GX 2463</t>
  </si>
  <si>
    <t>Canis cf familiaris</t>
  </si>
  <si>
    <t>FB-10076</t>
  </si>
  <si>
    <t>C-192985</t>
  </si>
  <si>
    <t>Bone</t>
  </si>
  <si>
    <t xml:space="preserve">same stratum </t>
  </si>
  <si>
    <t>SI 1926a</t>
  </si>
  <si>
    <t>used GEOLocate, google maps, and literature to find coordinates</t>
  </si>
  <si>
    <t>Late Archaic or Early Woodland</t>
  </si>
  <si>
    <t>105S - SAME STRATUM</t>
  </si>
  <si>
    <t>SI-4256</t>
  </si>
  <si>
    <t>SI 2397</t>
  </si>
  <si>
    <t>Nevin, Blue Hill, Hancock County</t>
  </si>
  <si>
    <t xml:space="preserve">2nd shell </t>
  </si>
  <si>
    <t>SI-1549</t>
  </si>
  <si>
    <t>Douglas S. Byers. The Nevin Shellheap: Burials and observations. Andover, Massachusetts: Robert S. Peabody Foundation for Archaeology, Phillips Academy; 1979. (Papers of the Robert S Peabody Foundation for Archaeology; vol. 9).</t>
  </si>
  <si>
    <t>above Auk stratum</t>
  </si>
  <si>
    <t>SI-1552</t>
  </si>
  <si>
    <t>SI 2396</t>
  </si>
  <si>
    <t>SI 1926b</t>
  </si>
  <si>
    <t>Centre for Isotope Research of the University of Groningen</t>
  </si>
  <si>
    <t>Zandmotor</t>
  </si>
  <si>
    <t>Zuid-Holland, Netherlands</t>
  </si>
  <si>
    <t xml:space="preserve">Great Auk </t>
  </si>
  <si>
    <t>NMR9989-4370</t>
  </si>
  <si>
    <t>GrA-65546</t>
  </si>
  <si>
    <t>Langeveld BW. New Finds, Sites and Radiocarbon Dates of Skeletal Remains of the Great Auk Pinguinus impennis from the Netherlands. Ardea. 2020 Jul 1;108(1):5–19.; J van der Plicht, M Kuitems. Fossil Bones from the North Sea: Radiocarbon and Stable Isotope (13C/15N) Data. Radiocarbon. 2022;64(3):633–68.</t>
  </si>
  <si>
    <t>SI 4244</t>
  </si>
  <si>
    <t>SI-1551-B</t>
  </si>
  <si>
    <t>University of Bradford</t>
  </si>
  <si>
    <t>Tofts Ness, Sanday, Orkney</t>
  </si>
  <si>
    <t>Bos collagen</t>
  </si>
  <si>
    <t>Phase 3, Area B</t>
  </si>
  <si>
    <t>GU-2104</t>
  </si>
  <si>
    <t>Dockrill SJ, Bond JM. Sustainability and Resilience in Prehistoric North Atlantic Britain: The Importance of a Mixed Paleoeconomic System. Journal of the North Atlantic. 2009;2(1):33–50.</t>
  </si>
  <si>
    <t>SI 2403</t>
  </si>
  <si>
    <t>SI 4242</t>
  </si>
  <si>
    <t>15-1972</t>
  </si>
  <si>
    <t>SI 2406</t>
  </si>
  <si>
    <t>GU-2363</t>
  </si>
  <si>
    <t>Phase 3, Area A</t>
  </si>
  <si>
    <t>GU-2361</t>
  </si>
  <si>
    <t>SI 2408</t>
  </si>
  <si>
    <t>GX 19997-AMS</t>
  </si>
  <si>
    <t>SI 4248</t>
  </si>
  <si>
    <t>B 6031</t>
  </si>
  <si>
    <t>Late Archaic</t>
  </si>
  <si>
    <t>Area 1</t>
  </si>
  <si>
    <t>SI-4254</t>
  </si>
  <si>
    <t>Soil</t>
  </si>
  <si>
    <t>SI 1924</t>
  </si>
  <si>
    <t>National Museum of Denmark/Aarhus University</t>
  </si>
  <si>
    <t>Nipisat site, small island 15km south of Sisimiut, Greenland</t>
  </si>
  <si>
    <t>Nipisat site</t>
  </si>
  <si>
    <t>2K, older layer in Area D</t>
  </si>
  <si>
    <t>unstated, they did AMS and standard for some dates</t>
  </si>
  <si>
    <t>AAR-3630</t>
  </si>
  <si>
    <t>Saqqaq culture - talk about in human/auk review</t>
  </si>
  <si>
    <t>Tinna Møbjerg. New adaptive strategies in the Saqqaq Culture of Greenland, c. 1600-1400 BC. World Archaeology. 1999;30(3):452–65.</t>
  </si>
  <si>
    <t>SI 2404</t>
  </si>
  <si>
    <t>SI 1919</t>
  </si>
  <si>
    <t>SI 1922</t>
  </si>
  <si>
    <t>Phase 2, Area B</t>
  </si>
  <si>
    <t>GU-2364</t>
  </si>
  <si>
    <t>Natural History Museum of Denmark</t>
  </si>
  <si>
    <t>Havno, Aalborg, Denmark</t>
  </si>
  <si>
    <t>ZMK 4/1893 (24/63)</t>
  </si>
  <si>
    <t>MK54</t>
  </si>
  <si>
    <t>C-14</t>
  </si>
  <si>
    <t>Thomas JE. Evolution &amp; Extinction of the Great Auk: A Palaeogenomic Approach [PhD]. Bangor University, University of Copenhagen; 2018.</t>
  </si>
  <si>
    <t>SI 4247</t>
  </si>
  <si>
    <t>SI 2390</t>
  </si>
  <si>
    <t>SI 2395</t>
  </si>
  <si>
    <t>Bos/Ovis collagen</t>
  </si>
  <si>
    <t>Phase 2, Area A</t>
  </si>
  <si>
    <t>GU-2105</t>
  </si>
  <si>
    <t>SI 4249</t>
  </si>
  <si>
    <t>Nyelv, Finnmark, Norway</t>
  </si>
  <si>
    <t>JS.371</t>
  </si>
  <si>
    <t>MK121</t>
  </si>
  <si>
    <t>SI 2405</t>
  </si>
  <si>
    <t>OS 1832-AMS</t>
  </si>
  <si>
    <t>SI 4241</t>
  </si>
  <si>
    <t>80​​</t>
  </si>
  <si>
    <t>SI 2393</t>
  </si>
  <si>
    <t>GX 2464</t>
  </si>
  <si>
    <t>uncertainty about occupation</t>
  </si>
  <si>
    <t>Køtedalen, Norway</t>
  </si>
  <si>
    <t>Phase 15</t>
  </si>
  <si>
    <t>in same tightly dated phases, but not same layers</t>
  </si>
  <si>
    <t>T-6239</t>
  </si>
  <si>
    <t>Asle Bruen Olsen. Kotedalen - en boplass gjennom 5000 år. 1: Fangstbosetning og tidlig fordbruk i Vestnorsk Steinalder: Nye funn og nye perspektiver. Bergen: Historical Museum, University of Bergen; 1992.</t>
  </si>
  <si>
    <t>T-6237</t>
  </si>
  <si>
    <t>T-7392</t>
  </si>
  <si>
    <t>GU-2206</t>
  </si>
  <si>
    <t>GU-2362</t>
  </si>
  <si>
    <t>T-7505</t>
  </si>
  <si>
    <t>T-7339</t>
  </si>
  <si>
    <t>T-7506</t>
  </si>
  <si>
    <t>T-7507</t>
  </si>
  <si>
    <t>T-7053</t>
  </si>
  <si>
    <t>SI 1921</t>
  </si>
  <si>
    <t>Bourque BJ. Comments on the Late Archaic Populations of Central Maine: The View from the Turner Farm. Arctic Anthropology. 1975;12(2):35–45.</t>
  </si>
  <si>
    <t>SI 1920</t>
  </si>
  <si>
    <t>Phase 14</t>
  </si>
  <si>
    <t>T-7391</t>
  </si>
  <si>
    <t>Phase 1, Area A</t>
  </si>
  <si>
    <t>GU-2209</t>
  </si>
  <si>
    <t>T-7150</t>
  </si>
  <si>
    <t>T-7151</t>
  </si>
  <si>
    <t>GU-2210</t>
  </si>
  <si>
    <t>T-7149</t>
  </si>
  <si>
    <t>T-7521</t>
  </si>
  <si>
    <t>T-7338</t>
  </si>
  <si>
    <t>T-7531</t>
  </si>
  <si>
    <t>T-7508</t>
  </si>
  <si>
    <t>T-6234</t>
  </si>
  <si>
    <t>SI 1923</t>
  </si>
  <si>
    <t>T-7390</t>
  </si>
  <si>
    <t>University of Copenhagen</t>
  </si>
  <si>
    <t>Sejerø Island, Denmark</t>
  </si>
  <si>
    <t>Rødhals shell midden</t>
  </si>
  <si>
    <t>Lutra lutra</t>
  </si>
  <si>
    <t>17/1938 (C)</t>
  </si>
  <si>
    <t>AMS, collagen</t>
  </si>
  <si>
    <t>Z.M.K. 17/1938, P435/2019KMG</t>
  </si>
  <si>
    <t>UCIAMS-230939</t>
  </si>
  <si>
    <t>really loose association (excavation)</t>
  </si>
  <si>
    <t>Fischer A, Gotfredsen AB, Meadows J, Pedersen L, Stafford M. The Rødhals kitchen midden – marine adaptations at the end of the Mesolithic world. Journal of Archaeological Science: Reports. 2021 Oct;39:103102.</t>
  </si>
  <si>
    <t>Sus domesticus</t>
  </si>
  <si>
    <t xml:space="preserve">ZMK 17/1938, P106/2020 KMG </t>
  </si>
  <si>
    <t>UCIAMS-238394</t>
  </si>
  <si>
    <t>Phase 13</t>
  </si>
  <si>
    <t>T-7052</t>
  </si>
  <si>
    <t>T-7522</t>
  </si>
  <si>
    <t>Phase 12</t>
  </si>
  <si>
    <t>T-7336</t>
  </si>
  <si>
    <t>T-7337</t>
  </si>
  <si>
    <t>T-7509</t>
  </si>
  <si>
    <t>T-7510</t>
  </si>
  <si>
    <t>T-7523</t>
  </si>
  <si>
    <t>T-7524</t>
  </si>
  <si>
    <t>Canis familiaris</t>
  </si>
  <si>
    <t>118/1942, Gniben (F)</t>
  </si>
  <si>
    <t>Z.M.K. 118/1942 (Gniben), P424/ 2019/KMG</t>
  </si>
  <si>
    <t>UCIAMS-232710</t>
  </si>
  <si>
    <t>isotope values present (not for great auk)</t>
  </si>
  <si>
    <t>T-6238</t>
  </si>
  <si>
    <t>Bos taurus</t>
  </si>
  <si>
    <t>Z.M.K. 17/1938, P436/2019KMG</t>
  </si>
  <si>
    <t>UCIAMS-230940</t>
  </si>
  <si>
    <t>T-6235</t>
  </si>
  <si>
    <t>Solager, Frederiksborg, Denmark</t>
  </si>
  <si>
    <t>Phoca groenl</t>
  </si>
  <si>
    <t>ZMK 31/1901</t>
  </si>
  <si>
    <t>MK62</t>
  </si>
  <si>
    <t>T-7519</t>
  </si>
  <si>
    <t>Z.M.K. 17/1938, P105/2020KMG</t>
  </si>
  <si>
    <t>UCIAMS-238393</t>
  </si>
  <si>
    <t>Ovis aries</t>
  </si>
  <si>
    <t>Z.M.K. 17/1938, P430/2019KMG</t>
  </si>
  <si>
    <t>UCIAMS-230937</t>
  </si>
  <si>
    <t>Mejlgard, Randers, Denmark</t>
  </si>
  <si>
    <t>Bos primigenius</t>
  </si>
  <si>
    <t>ZMK 4/1861 (19/63)</t>
  </si>
  <si>
    <t>MK53</t>
  </si>
  <si>
    <t>Cervus alaphus</t>
  </si>
  <si>
    <t>Z.M.K. 17/1938, P431/2019KMG</t>
  </si>
  <si>
    <t>UCIAMS-230938</t>
  </si>
  <si>
    <t>French Prehistoric Mission and National Institute of Archaeology and Heritage Sciences of Morocco</t>
  </si>
  <si>
    <t>Temara, Morocco</t>
  </si>
  <si>
    <t>El Harhoura 2 Cave</t>
  </si>
  <si>
    <t xml:space="preserve">Shell </t>
  </si>
  <si>
    <t>UQ-1601</t>
  </si>
  <si>
    <t>Campmas E, Laroulandie V, Michel P, Amani F, Nespoulet R, El Hajraoui Mohammed A. A Great Auk (Pinguinus impennis) in North Africa: Discovery of a bone remain in Neolithic layer of El Harhoura 2 Cave (Temara, Morocco). In: Proceedings of the 6th Meeting of the ICAZ Bird Working Group in Groningen (238 - 2782008). Groningen: Groningen University Library; 2010. (Groningen archaeological studies).; Daugas JP, Raynal JP, El Idriss A, Ousmoi M, Fain J, Miallier D, et al. Synthèse radiochronométrique concernant la séquence néolithique au Maroc. C14 Archéologie. 1998;349–53.; Debénath A, Lacombe JP. Remarques sur la double sépulture néolithique du gisement d’El Harhoura II (Province de Témara). Maroc Archeologia. 1986;13:120–5.</t>
  </si>
  <si>
    <t>Zandmotor, Netherlands</t>
  </si>
  <si>
    <t>Zuid-Holland</t>
  </si>
  <si>
    <t>RMNH.5070466</t>
  </si>
  <si>
    <t>GrA-64384</t>
  </si>
  <si>
    <t xml:space="preserve">Marine </t>
  </si>
  <si>
    <t>RABAT-168</t>
  </si>
  <si>
    <t>Nespoulet R, El Hajraoui MA. Rapport d’activités de la Mission Archéologique El Harhoura 2. Ministère des affaires étrangères, division des Sciences sociales et de l’archéologie. 2003.</t>
  </si>
  <si>
    <t>Phase 2</t>
  </si>
  <si>
    <t>Hearth</t>
  </si>
  <si>
    <t xml:space="preserve">did not contain bones, adjacent </t>
  </si>
  <si>
    <t>T-7526</t>
  </si>
  <si>
    <t>The Swedish History Museum</t>
  </si>
  <si>
    <t>Ölmevalla sn, Ölmanäs, Sweden</t>
  </si>
  <si>
    <t>Unknown</t>
  </si>
  <si>
    <t>Ericson PGP, Tyrberg T. Early History Of The Swedish Avifauna: A Review of the Subfossil Record and Early Written Sources. Stockholm, Sweden: Almquiest &amp; Wiksell International; 2004.</t>
  </si>
  <si>
    <t xml:space="preserve">Ash layer </t>
  </si>
  <si>
    <t>closest context to great auk in phase</t>
  </si>
  <si>
    <t>T-6232</t>
  </si>
  <si>
    <t>T-7528</t>
  </si>
  <si>
    <t>T-7529</t>
  </si>
  <si>
    <t>Tanum sn, Otterö, Sweden</t>
  </si>
  <si>
    <t>SHM 5567</t>
  </si>
  <si>
    <t xml:space="preserve">did not contain bones, oldest dating and is not representative of phase 2, so gave low score </t>
  </si>
  <si>
    <t>Ua-891</t>
  </si>
  <si>
    <t>University of Arizona</t>
  </si>
  <si>
    <t>on Merrimack River, Massachusetts</t>
  </si>
  <si>
    <t>Morrill Point Mound</t>
  </si>
  <si>
    <t>AA 33229</t>
  </si>
  <si>
    <t>Sanger D, Renouf MAP, editors. The Archaic of the Far Northeast. Orono, Maine: The University of Maine Press; 2006.</t>
  </si>
  <si>
    <t>AA 21974</t>
  </si>
  <si>
    <t>Ölmevalla sn, Ölmanäs</t>
  </si>
  <si>
    <t>Tanum sn, Otterö</t>
  </si>
  <si>
    <t>Population</t>
  </si>
  <si>
    <t>North-East</t>
  </si>
  <si>
    <t>North-West</t>
  </si>
  <si>
    <t>Køtedalen</t>
  </si>
  <si>
    <t>Tofts Ness</t>
  </si>
  <si>
    <t>Great Diamond</t>
  </si>
  <si>
    <t>Goddard</t>
  </si>
  <si>
    <t>Sejerø</t>
  </si>
  <si>
    <t>Hornish</t>
  </si>
  <si>
    <t>Basin</t>
  </si>
  <si>
    <t>Indiantown</t>
  </si>
  <si>
    <t>Partridge</t>
  </si>
  <si>
    <t>Todd</t>
  </si>
  <si>
    <t>Ruth Moore (31.17)</t>
  </si>
  <si>
    <t>Nevin</t>
  </si>
  <si>
    <t>Havno</t>
  </si>
  <si>
    <t>Nyelv</t>
  </si>
  <si>
    <t>Solager</t>
  </si>
  <si>
    <t>Mejlgard</t>
  </si>
  <si>
    <t xml:space="preserve">Run </t>
  </si>
  <si>
    <t xml:space="preserve">Lower </t>
  </si>
  <si>
    <t>Lower (CE)</t>
  </si>
  <si>
    <t xml:space="preserve">Median </t>
  </si>
  <si>
    <t>Median (CE)</t>
  </si>
  <si>
    <t>Upper</t>
  </si>
  <si>
    <t>Upper (CE)</t>
  </si>
  <si>
    <t>Entire Range (unthinned)</t>
  </si>
  <si>
    <t>124 BP</t>
  </si>
  <si>
    <t>-87 AD</t>
  </si>
  <si>
    <t>-284 AD</t>
  </si>
  <si>
    <t>Entire Range (thinned)</t>
  </si>
  <si>
    <t>97 BP</t>
  </si>
  <si>
    <t>-187 AD</t>
  </si>
  <si>
    <t>-1234 AD</t>
  </si>
  <si>
    <t xml:space="preserve">Entire Range unthinned dates scored ≥ 9 </t>
  </si>
  <si>
    <t>700 BP</t>
  </si>
  <si>
    <t>534 BP</t>
  </si>
  <si>
    <t>309 BP</t>
  </si>
  <si>
    <t xml:space="preserve">Entire Range unthinned dates scored &lt; 9 </t>
  </si>
  <si>
    <t>49 BP</t>
  </si>
  <si>
    <t>-212 AD</t>
  </si>
  <si>
    <t>-434 AD</t>
  </si>
  <si>
    <t>North-West (unthinned)</t>
  </si>
  <si>
    <t>108 BP</t>
  </si>
  <si>
    <t>-124 AD</t>
  </si>
  <si>
    <t>-340 AD</t>
  </si>
  <si>
    <t>North-West (thinned)</t>
  </si>
  <si>
    <t>-207 AD</t>
  </si>
  <si>
    <t>-1355 AD</t>
  </si>
  <si>
    <t xml:space="preserve">North-West unthinned dates scored ≥ 9 </t>
  </si>
  <si>
    <t>710 BP</t>
  </si>
  <si>
    <t>530 BP</t>
  </si>
  <si>
    <t>293 BP</t>
  </si>
  <si>
    <t>Maine (unthinned)</t>
  </si>
  <si>
    <t>80 BP</t>
  </si>
  <si>
    <t>-175 AD</t>
  </si>
  <si>
    <t>-409 AD</t>
  </si>
  <si>
    <t>Maine (thinned)</t>
  </si>
  <si>
    <t>89 BP</t>
  </si>
  <si>
    <t>-235 AD</t>
  </si>
  <si>
    <t>-1397 AD</t>
  </si>
  <si>
    <t xml:space="preserve">Maine unthinned dates scored ≥ 9 </t>
  </si>
  <si>
    <t>711 BP</t>
  </si>
  <si>
    <t>531 BP</t>
  </si>
  <si>
    <t xml:space="preserve">283 BP </t>
  </si>
  <si>
    <t xml:space="preserve">North-East (unthinned) </t>
  </si>
  <si>
    <t>475 BP</t>
  </si>
  <si>
    <t>228 BP</t>
  </si>
  <si>
    <t>-10 AD</t>
  </si>
  <si>
    <t xml:space="preserve">North-East (thinned) </t>
  </si>
  <si>
    <t>245 BP</t>
  </si>
  <si>
    <t>-69 AD</t>
  </si>
  <si>
    <t>-354 AD</t>
  </si>
  <si>
    <t xml:space="preserve">North-East unthinned dates scored ≥ 9 </t>
  </si>
  <si>
    <t>-498 AD</t>
  </si>
  <si>
    <t>-767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</si>
</sst>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000000"/>
      <name val="&quot;Times New Roman&quot;"/>
    </font>
    <font>
      <sz val="12"/>
      <color rgb="FF000000"/>
      <name val="Times New Roman"/>
    </font>
    <font>
      <sz val="10"/>
      <color theme="1"/>
      <name val="Arial"/>
      <scheme val="minor"/>
    </font>
    <font>
      <sz val="12"/>
      <color rgb="FF000000"/>
      <name val="&quot;Times New Roman&quot;"/>
    </font>
    <font>
      <sz val="12"/>
      <color theme="1"/>
      <name val="Times New Roman"/>
    </font>
    <font>
      <i/>
      <sz val="12"/>
      <color rgb="FF000000"/>
      <name val="Times New Roman"/>
    </font>
    <font>
      <sz val="12"/>
      <color rgb="FF0000FF"/>
      <name val="Times New Roman"/>
    </font>
    <font>
      <u/>
      <sz val="12"/>
      <color rgb="FF0000FF"/>
      <name val="Times New Roman"/>
    </font>
    <font>
      <b/>
      <sz val="12"/>
      <color theme="1"/>
      <name val="Times New Roman"/>
    </font>
    <font>
      <sz val="12"/>
      <color theme="1"/>
      <name val="&quot;Times New Roman&quot;"/>
    </font>
    <font>
      <sz val="12"/>
      <name val="Times New Roman"/>
    </font>
    <font>
      <u/>
      <sz val="12"/>
      <color rgb="FF1155CC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content/pdf/bbm:978-0-585-27574-1/1.pdf" TargetMode="External"/><Relationship Id="rId3" Type="http://schemas.openxmlformats.org/officeDocument/2006/relationships/hyperlink" Target="https://link.springer.com/content/pdf/bbm:978-0-585-27574-1/1.pdf" TargetMode="External"/><Relationship Id="rId7" Type="http://schemas.openxmlformats.org/officeDocument/2006/relationships/hyperlink" Target="https://link.springer.com/content/pdf/bbm:978-0-585-27574-1/1.pdf" TargetMode="External"/><Relationship Id="rId2" Type="http://schemas.openxmlformats.org/officeDocument/2006/relationships/hyperlink" Target="https://link.springer.com/content/pdf/bbm:978-0-585-27574-1/1.pdf" TargetMode="External"/><Relationship Id="rId1" Type="http://schemas.openxmlformats.org/officeDocument/2006/relationships/hyperlink" Target="https://www.canadianarchaeology.ca/" TargetMode="External"/><Relationship Id="rId6" Type="http://schemas.openxmlformats.org/officeDocument/2006/relationships/hyperlink" Target="https://link.springer.com/content/pdf/bbm:978-0-585-27574-1/1.pdf" TargetMode="External"/><Relationship Id="rId5" Type="http://schemas.openxmlformats.org/officeDocument/2006/relationships/hyperlink" Target="https://link.springer.com/content/pdf/bbm:978-0-585-27574-1/1.pdf" TargetMode="External"/><Relationship Id="rId4" Type="http://schemas.openxmlformats.org/officeDocument/2006/relationships/hyperlink" Target="https://link.springer.com/content/pdf/bbm:978-0-585-27574-1/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"/>
  <sheetViews>
    <sheetView workbookViewId="0">
      <pane ySplit="1" topLeftCell="A115" activePane="bottomLeft" state="frozen"/>
      <selection pane="bottomLeft" activeCell="N121" sqref="N121"/>
    </sheetView>
  </sheetViews>
  <sheetFormatPr defaultColWidth="12.5703125" defaultRowHeight="15.75" customHeight="1"/>
  <cols>
    <col min="1" max="1" width="10.7109375" customWidth="1"/>
    <col min="2" max="2" width="8.5703125" customWidth="1"/>
    <col min="3" max="3" width="9.42578125" customWidth="1"/>
    <col min="5" max="5" width="10.140625" customWidth="1"/>
    <col min="6" max="6" width="10.5703125" customWidth="1"/>
    <col min="9" max="9" width="15.28515625" customWidth="1"/>
    <col min="10" max="10" width="8.5703125" customWidth="1"/>
    <col min="11" max="11" width="8.140625" customWidth="1"/>
    <col min="12" max="12" width="21.42578125" customWidth="1"/>
    <col min="13" max="13" width="9.42578125" customWidth="1"/>
    <col min="14" max="14" width="16.7109375" customWidth="1"/>
    <col min="15" max="15" width="11" customWidth="1"/>
    <col min="16" max="16" width="11.42578125" customWidth="1"/>
    <col min="18" max="18" width="9.7109375" customWidth="1"/>
    <col min="19" max="19" width="3.7109375" customWidth="1"/>
    <col min="20" max="20" width="8.28515625" customWidth="1"/>
    <col min="21" max="21" width="9.5703125" customWidth="1"/>
    <col min="22" max="22" width="7.42578125" customWidth="1"/>
    <col min="23" max="23" width="6.5703125" customWidth="1"/>
    <col min="24" max="24" width="11.28515625" customWidth="1"/>
    <col min="25" max="25" width="21.140625" customWidth="1"/>
    <col min="26" max="27" width="6.85546875" customWidth="1"/>
    <col min="28" max="28" width="39.57031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</row>
    <row r="2" spans="1:28">
      <c r="A2" s="3" t="s">
        <v>28</v>
      </c>
      <c r="B2" s="3" t="s">
        <v>29</v>
      </c>
      <c r="C2" s="3">
        <f t="shared" ref="C2:C144" si="0">1950-R2</f>
        <v>1826</v>
      </c>
      <c r="D2" s="3" t="s">
        <v>30</v>
      </c>
      <c r="E2" s="3">
        <v>43.799753000000003</v>
      </c>
      <c r="F2" s="3">
        <v>-69.870177999999996</v>
      </c>
      <c r="G2" s="3" t="s">
        <v>31</v>
      </c>
      <c r="H2" s="3" t="s">
        <v>32</v>
      </c>
      <c r="I2" s="3"/>
      <c r="J2" s="3" t="s">
        <v>33</v>
      </c>
      <c r="K2" s="3" t="s">
        <v>34</v>
      </c>
      <c r="L2" s="3">
        <v>550</v>
      </c>
      <c r="M2" s="3">
        <v>80</v>
      </c>
      <c r="N2" s="3" t="s">
        <v>35</v>
      </c>
      <c r="O2" s="3">
        <v>-66</v>
      </c>
      <c r="P2" s="3">
        <v>42</v>
      </c>
      <c r="Q2" s="3">
        <v>95.4</v>
      </c>
      <c r="R2" s="3">
        <v>124</v>
      </c>
      <c r="S2" s="3">
        <v>86</v>
      </c>
      <c r="T2" s="3">
        <v>111</v>
      </c>
      <c r="U2" s="3">
        <v>277</v>
      </c>
      <c r="V2" s="3">
        <v>-2</v>
      </c>
      <c r="W2" s="3">
        <v>6</v>
      </c>
      <c r="X2" s="3" t="s">
        <v>36</v>
      </c>
      <c r="Y2" s="3"/>
      <c r="Z2" s="3" t="s">
        <v>37</v>
      </c>
      <c r="AA2" s="4"/>
      <c r="AB2" s="5" t="s">
        <v>38</v>
      </c>
    </row>
    <row r="3" spans="1:28">
      <c r="A3" s="3" t="s">
        <v>39</v>
      </c>
      <c r="B3" s="3" t="s">
        <v>29</v>
      </c>
      <c r="C3" s="3">
        <f t="shared" si="0"/>
        <v>1537</v>
      </c>
      <c r="D3" s="3" t="s">
        <v>40</v>
      </c>
      <c r="E3" s="3">
        <v>44.229739000000002</v>
      </c>
      <c r="F3" s="3">
        <v>-68.524191999999999</v>
      </c>
      <c r="G3" s="3" t="s">
        <v>41</v>
      </c>
      <c r="H3" s="3" t="s">
        <v>42</v>
      </c>
      <c r="I3" s="6" t="s">
        <v>43</v>
      </c>
      <c r="J3" s="3"/>
      <c r="K3" s="3" t="s">
        <v>44</v>
      </c>
      <c r="L3" s="3">
        <v>377</v>
      </c>
      <c r="M3" s="3">
        <v>57</v>
      </c>
      <c r="N3" s="3" t="s">
        <v>45</v>
      </c>
      <c r="O3" s="3" t="s">
        <v>46</v>
      </c>
      <c r="P3" s="3" t="s">
        <v>46</v>
      </c>
      <c r="Q3" s="3">
        <v>95.4</v>
      </c>
      <c r="R3" s="3">
        <v>413</v>
      </c>
      <c r="S3" s="3">
        <v>62</v>
      </c>
      <c r="T3" s="3">
        <v>420</v>
      </c>
      <c r="U3" s="3"/>
      <c r="V3" s="3"/>
      <c r="W3" s="3">
        <v>8</v>
      </c>
      <c r="X3" s="3"/>
      <c r="Y3" s="3"/>
      <c r="Z3" s="3" t="s">
        <v>47</v>
      </c>
      <c r="AA3" s="4"/>
      <c r="AB3" s="5" t="s">
        <v>48</v>
      </c>
    </row>
    <row r="4" spans="1:28">
      <c r="A4" s="3" t="s">
        <v>49</v>
      </c>
      <c r="B4" s="3" t="s">
        <v>50</v>
      </c>
      <c r="C4" s="3">
        <f t="shared" si="0"/>
        <v>1369</v>
      </c>
      <c r="D4" s="3" t="s">
        <v>51</v>
      </c>
      <c r="E4" s="3">
        <v>41.322778</v>
      </c>
      <c r="F4" s="3">
        <v>-70.791325999999998</v>
      </c>
      <c r="G4" s="3" t="s">
        <v>52</v>
      </c>
      <c r="H4" s="3" t="s">
        <v>42</v>
      </c>
      <c r="I4" s="6" t="s">
        <v>53</v>
      </c>
      <c r="J4" s="3" t="s">
        <v>54</v>
      </c>
      <c r="K4" s="3" t="s">
        <v>55</v>
      </c>
      <c r="L4" s="3">
        <v>570</v>
      </c>
      <c r="M4" s="3">
        <v>80</v>
      </c>
      <c r="N4" s="3" t="s">
        <v>45</v>
      </c>
      <c r="O4" s="3" t="s">
        <v>46</v>
      </c>
      <c r="P4" s="3" t="s">
        <v>46</v>
      </c>
      <c r="Q4" s="3">
        <v>95.4</v>
      </c>
      <c r="R4" s="3">
        <v>581</v>
      </c>
      <c r="S4" s="3">
        <v>54</v>
      </c>
      <c r="T4" s="3">
        <v>586</v>
      </c>
      <c r="U4" s="3"/>
      <c r="V4" s="3"/>
      <c r="W4" s="3">
        <v>7</v>
      </c>
      <c r="X4" s="3"/>
      <c r="Y4" s="3"/>
      <c r="Z4" s="3" t="s">
        <v>56</v>
      </c>
      <c r="AA4" s="3" t="s">
        <v>57</v>
      </c>
      <c r="AB4" s="5" t="s">
        <v>58</v>
      </c>
    </row>
    <row r="5" spans="1:28">
      <c r="A5" s="3" t="s">
        <v>39</v>
      </c>
      <c r="B5" s="3" t="s">
        <v>29</v>
      </c>
      <c r="C5" s="3">
        <f t="shared" si="0"/>
        <v>1278</v>
      </c>
      <c r="D5" s="3" t="s">
        <v>40</v>
      </c>
      <c r="E5" s="3">
        <v>44.229739000000002</v>
      </c>
      <c r="F5" s="3">
        <v>-68.524191999999999</v>
      </c>
      <c r="G5" s="3" t="s">
        <v>41</v>
      </c>
      <c r="H5" s="3" t="s">
        <v>42</v>
      </c>
      <c r="I5" s="7" t="s">
        <v>43</v>
      </c>
      <c r="J5" s="3"/>
      <c r="K5" s="3" t="s">
        <v>59</v>
      </c>
      <c r="L5" s="3">
        <v>715</v>
      </c>
      <c r="M5" s="3">
        <v>110</v>
      </c>
      <c r="N5" s="3" t="s">
        <v>45</v>
      </c>
      <c r="O5" s="3" t="s">
        <v>46</v>
      </c>
      <c r="P5" s="3" t="s">
        <v>46</v>
      </c>
      <c r="Q5" s="3">
        <v>95.4</v>
      </c>
      <c r="R5" s="3">
        <v>672</v>
      </c>
      <c r="S5" s="3">
        <v>91</v>
      </c>
      <c r="T5" s="3">
        <v>666</v>
      </c>
      <c r="U5" s="3"/>
      <c r="V5" s="3"/>
      <c r="W5" s="3">
        <v>7</v>
      </c>
      <c r="X5" s="3"/>
      <c r="Y5" s="3"/>
      <c r="Z5" s="3" t="s">
        <v>60</v>
      </c>
      <c r="AA5" s="3"/>
      <c r="AB5" s="5" t="s">
        <v>48</v>
      </c>
    </row>
    <row r="6" spans="1:28">
      <c r="A6" s="3" t="s">
        <v>39</v>
      </c>
      <c r="B6" s="3" t="s">
        <v>29</v>
      </c>
      <c r="C6" s="3">
        <f t="shared" si="0"/>
        <v>1242</v>
      </c>
      <c r="D6" s="3" t="s">
        <v>40</v>
      </c>
      <c r="E6" s="3">
        <v>44.229739000000002</v>
      </c>
      <c r="F6" s="3">
        <v>-68.524191999999999</v>
      </c>
      <c r="G6" s="3" t="s">
        <v>41</v>
      </c>
      <c r="H6" s="3" t="s">
        <v>42</v>
      </c>
      <c r="I6" s="7" t="s">
        <v>43</v>
      </c>
      <c r="J6" s="3"/>
      <c r="K6" s="3" t="s">
        <v>61</v>
      </c>
      <c r="L6" s="3">
        <v>770</v>
      </c>
      <c r="M6" s="3">
        <v>70</v>
      </c>
      <c r="N6" s="3" t="s">
        <v>45</v>
      </c>
      <c r="O6" s="3" t="s">
        <v>46</v>
      </c>
      <c r="P6" s="3" t="s">
        <v>46</v>
      </c>
      <c r="Q6" s="3">
        <v>95.4</v>
      </c>
      <c r="R6" s="3">
        <v>708</v>
      </c>
      <c r="S6" s="3">
        <v>64</v>
      </c>
      <c r="T6" s="3">
        <v>704</v>
      </c>
      <c r="U6" s="3"/>
      <c r="V6" s="3"/>
      <c r="W6" s="3">
        <v>7</v>
      </c>
      <c r="X6" s="3"/>
      <c r="Y6" s="3"/>
      <c r="Z6" s="3" t="s">
        <v>62</v>
      </c>
      <c r="AA6" s="3"/>
      <c r="AB6" s="5" t="s">
        <v>48</v>
      </c>
    </row>
    <row r="7" spans="1:28">
      <c r="A7" s="3" t="s">
        <v>63</v>
      </c>
      <c r="B7" s="3" t="s">
        <v>29</v>
      </c>
      <c r="C7" s="3">
        <f t="shared" si="0"/>
        <v>1238</v>
      </c>
      <c r="D7" s="3" t="s">
        <v>64</v>
      </c>
      <c r="E7" s="3">
        <v>43.855148</v>
      </c>
      <c r="F7" s="3">
        <v>-69.665679999999995</v>
      </c>
      <c r="G7" s="3" t="s">
        <v>41</v>
      </c>
      <c r="H7" s="3" t="s">
        <v>42</v>
      </c>
      <c r="I7" s="3"/>
      <c r="J7" s="3" t="s">
        <v>65</v>
      </c>
      <c r="K7" s="3"/>
      <c r="L7" s="3">
        <v>770</v>
      </c>
      <c r="M7" s="3">
        <v>80</v>
      </c>
      <c r="N7" s="3" t="s">
        <v>45</v>
      </c>
      <c r="O7" s="3" t="s">
        <v>46</v>
      </c>
      <c r="P7" s="3" t="s">
        <v>46</v>
      </c>
      <c r="Q7" s="3">
        <v>95.4</v>
      </c>
      <c r="R7" s="3">
        <v>712</v>
      </c>
      <c r="S7" s="3">
        <v>75</v>
      </c>
      <c r="T7" s="3">
        <v>706</v>
      </c>
      <c r="U7" s="3"/>
      <c r="V7" s="3"/>
      <c r="W7" s="3">
        <v>9</v>
      </c>
      <c r="X7" s="3"/>
      <c r="Y7" s="3"/>
      <c r="Z7" s="3" t="s">
        <v>66</v>
      </c>
      <c r="AA7" s="3"/>
      <c r="AB7" s="8" t="s">
        <v>67</v>
      </c>
    </row>
    <row r="8" spans="1:28">
      <c r="A8" s="3" t="s">
        <v>63</v>
      </c>
      <c r="B8" s="3" t="s">
        <v>29</v>
      </c>
      <c r="C8" s="3">
        <f t="shared" si="0"/>
        <v>1216</v>
      </c>
      <c r="D8" s="3" t="s">
        <v>64</v>
      </c>
      <c r="E8" s="3">
        <v>43.855148</v>
      </c>
      <c r="F8" s="3">
        <v>-69.665679999999995</v>
      </c>
      <c r="G8" s="3" t="s">
        <v>41</v>
      </c>
      <c r="H8" s="3" t="s">
        <v>42</v>
      </c>
      <c r="I8" s="3"/>
      <c r="J8" s="3" t="s">
        <v>65</v>
      </c>
      <c r="K8" s="3"/>
      <c r="L8" s="3">
        <v>795</v>
      </c>
      <c r="M8" s="3">
        <v>75</v>
      </c>
      <c r="N8" s="3" t="s">
        <v>45</v>
      </c>
      <c r="O8" s="3" t="s">
        <v>46</v>
      </c>
      <c r="P8" s="3" t="s">
        <v>46</v>
      </c>
      <c r="Q8" s="3">
        <v>95.4</v>
      </c>
      <c r="R8" s="3">
        <v>734</v>
      </c>
      <c r="S8" s="3">
        <v>71</v>
      </c>
      <c r="T8" s="3">
        <v>722</v>
      </c>
      <c r="U8" s="3"/>
      <c r="V8" s="3"/>
      <c r="W8" s="3">
        <v>9</v>
      </c>
      <c r="X8" s="3"/>
      <c r="Y8" s="3"/>
      <c r="Z8" s="3" t="s">
        <v>68</v>
      </c>
      <c r="AA8" s="3"/>
      <c r="AB8" s="8" t="s">
        <v>67</v>
      </c>
    </row>
    <row r="9" spans="1:28">
      <c r="A9" s="3" t="s">
        <v>69</v>
      </c>
      <c r="B9" s="3" t="s">
        <v>29</v>
      </c>
      <c r="C9" s="3">
        <f t="shared" si="0"/>
        <v>1203</v>
      </c>
      <c r="D9" s="3" t="s">
        <v>70</v>
      </c>
      <c r="E9" s="3">
        <v>43.670678000000002</v>
      </c>
      <c r="F9" s="3">
        <v>-70.203227999999996</v>
      </c>
      <c r="G9" s="3" t="s">
        <v>41</v>
      </c>
      <c r="H9" s="3" t="s">
        <v>42</v>
      </c>
      <c r="I9" s="6" t="s">
        <v>71</v>
      </c>
      <c r="J9" s="3" t="s">
        <v>72</v>
      </c>
      <c r="K9" s="3" t="s">
        <v>73</v>
      </c>
      <c r="L9" s="3">
        <v>820</v>
      </c>
      <c r="M9" s="3">
        <v>60</v>
      </c>
      <c r="N9" s="3" t="s">
        <v>45</v>
      </c>
      <c r="O9" s="3" t="s">
        <v>46</v>
      </c>
      <c r="P9" s="3" t="s">
        <v>46</v>
      </c>
      <c r="Q9" s="3">
        <v>95.4</v>
      </c>
      <c r="R9" s="3">
        <v>747</v>
      </c>
      <c r="S9" s="3">
        <v>60</v>
      </c>
      <c r="T9" s="3">
        <v>733</v>
      </c>
      <c r="U9" s="3"/>
      <c r="V9" s="3"/>
      <c r="W9" s="3">
        <v>9</v>
      </c>
      <c r="X9" s="3" t="s">
        <v>74</v>
      </c>
      <c r="Y9" s="3"/>
      <c r="Z9" s="3" t="s">
        <v>75</v>
      </c>
      <c r="AA9" s="3"/>
      <c r="AB9" s="8" t="s">
        <v>76</v>
      </c>
    </row>
    <row r="10" spans="1:28">
      <c r="A10" s="7" t="s">
        <v>77</v>
      </c>
      <c r="B10" s="7" t="s">
        <v>78</v>
      </c>
      <c r="C10" s="3">
        <f t="shared" si="0"/>
        <v>845</v>
      </c>
      <c r="D10" s="6" t="s">
        <v>79</v>
      </c>
      <c r="E10" s="3">
        <v>60.049726999999997</v>
      </c>
      <c r="F10" s="3">
        <v>5.0316409999999996</v>
      </c>
      <c r="G10" s="3" t="s">
        <v>80</v>
      </c>
      <c r="H10" s="3" t="s">
        <v>32</v>
      </c>
      <c r="I10" s="3"/>
      <c r="J10" s="3"/>
      <c r="K10" s="3"/>
      <c r="L10" s="3">
        <v>1545</v>
      </c>
      <c r="M10" s="3">
        <v>70</v>
      </c>
      <c r="N10" s="3" t="s">
        <v>35</v>
      </c>
      <c r="O10" s="3">
        <v>-167</v>
      </c>
      <c r="P10" s="3">
        <v>31</v>
      </c>
      <c r="Q10" s="3">
        <v>95.4</v>
      </c>
      <c r="R10" s="3">
        <v>1105</v>
      </c>
      <c r="S10" s="3">
        <v>100</v>
      </c>
      <c r="T10" s="3">
        <v>1107</v>
      </c>
      <c r="U10" s="3">
        <v>1291</v>
      </c>
      <c r="V10" s="3">
        <v>914</v>
      </c>
      <c r="W10" s="3">
        <v>13</v>
      </c>
      <c r="X10" s="3"/>
      <c r="Y10" s="3"/>
      <c r="Z10" s="7" t="s">
        <v>81</v>
      </c>
      <c r="AA10" s="3" t="s">
        <v>82</v>
      </c>
      <c r="AB10" s="8" t="s">
        <v>83</v>
      </c>
    </row>
    <row r="11" spans="1:28">
      <c r="A11" s="3" t="s">
        <v>39</v>
      </c>
      <c r="B11" s="3" t="s">
        <v>29</v>
      </c>
      <c r="C11" s="3">
        <f t="shared" si="0"/>
        <v>1152</v>
      </c>
      <c r="D11" s="3" t="s">
        <v>84</v>
      </c>
      <c r="E11" s="3">
        <v>44.136096999999999</v>
      </c>
      <c r="F11" s="3">
        <v>-68.849982999999995</v>
      </c>
      <c r="G11" s="3" t="s">
        <v>41</v>
      </c>
      <c r="H11" s="3" t="s">
        <v>42</v>
      </c>
      <c r="I11" s="3"/>
      <c r="J11" s="3">
        <v>4</v>
      </c>
      <c r="K11" s="3"/>
      <c r="L11" s="3">
        <v>875</v>
      </c>
      <c r="M11" s="3">
        <v>70</v>
      </c>
      <c r="N11" s="3" t="s">
        <v>45</v>
      </c>
      <c r="O11" s="3" t="s">
        <v>46</v>
      </c>
      <c r="P11" s="3" t="s">
        <v>46</v>
      </c>
      <c r="Q11" s="3">
        <v>95.4</v>
      </c>
      <c r="R11" s="3">
        <v>798</v>
      </c>
      <c r="S11" s="3">
        <v>70</v>
      </c>
      <c r="T11" s="3">
        <v>787</v>
      </c>
      <c r="U11" s="3"/>
      <c r="V11" s="3"/>
      <c r="W11" s="3">
        <v>9</v>
      </c>
      <c r="X11" s="3"/>
      <c r="Y11" s="3"/>
      <c r="Z11" s="3" t="s">
        <v>85</v>
      </c>
      <c r="AA11" s="3"/>
      <c r="AB11" s="8" t="s">
        <v>86</v>
      </c>
    </row>
    <row r="12" spans="1:28">
      <c r="A12" s="3" t="s">
        <v>39</v>
      </c>
      <c r="B12" s="3" t="s">
        <v>29</v>
      </c>
      <c r="C12" s="3">
        <f t="shared" si="0"/>
        <v>1151</v>
      </c>
      <c r="D12" s="3" t="s">
        <v>40</v>
      </c>
      <c r="E12" s="3">
        <v>44.229739000000002</v>
      </c>
      <c r="F12" s="3">
        <v>-68.524191999999999</v>
      </c>
      <c r="G12" s="3" t="s">
        <v>41</v>
      </c>
      <c r="H12" s="3" t="s">
        <v>42</v>
      </c>
      <c r="I12" s="3" t="s">
        <v>43</v>
      </c>
      <c r="J12" s="3"/>
      <c r="K12" s="3" t="s">
        <v>87</v>
      </c>
      <c r="L12" s="3">
        <v>875</v>
      </c>
      <c r="M12" s="3">
        <v>75</v>
      </c>
      <c r="N12" s="3" t="s">
        <v>45</v>
      </c>
      <c r="O12" s="3" t="s">
        <v>46</v>
      </c>
      <c r="P12" s="3" t="s">
        <v>46</v>
      </c>
      <c r="Q12" s="3">
        <v>95.4</v>
      </c>
      <c r="R12" s="3">
        <v>799</v>
      </c>
      <c r="S12" s="3">
        <v>72</v>
      </c>
      <c r="T12" s="3">
        <v>789</v>
      </c>
      <c r="U12" s="3"/>
      <c r="V12" s="3"/>
      <c r="W12" s="3">
        <v>7</v>
      </c>
      <c r="X12" s="3"/>
      <c r="Y12" s="3"/>
      <c r="Z12" s="3" t="s">
        <v>88</v>
      </c>
      <c r="AA12" s="3"/>
      <c r="AB12" s="5" t="s">
        <v>48</v>
      </c>
    </row>
    <row r="13" spans="1:28">
      <c r="A13" s="3" t="s">
        <v>63</v>
      </c>
      <c r="B13" s="3" t="s">
        <v>29</v>
      </c>
      <c r="C13" s="3">
        <f t="shared" si="0"/>
        <v>1060</v>
      </c>
      <c r="D13" s="3" t="s">
        <v>64</v>
      </c>
      <c r="E13" s="3">
        <v>43.855148</v>
      </c>
      <c r="F13" s="3">
        <v>-69.665679999999995</v>
      </c>
      <c r="G13" s="3" t="s">
        <v>41</v>
      </c>
      <c r="H13" s="3" t="s">
        <v>42</v>
      </c>
      <c r="I13" s="3"/>
      <c r="J13" s="3" t="s">
        <v>89</v>
      </c>
      <c r="K13" s="3"/>
      <c r="L13" s="3">
        <v>960</v>
      </c>
      <c r="M13" s="3">
        <v>145</v>
      </c>
      <c r="N13" s="3" t="s">
        <v>45</v>
      </c>
      <c r="O13" s="3" t="s">
        <v>46</v>
      </c>
      <c r="P13" s="3" t="s">
        <v>46</v>
      </c>
      <c r="Q13" s="3">
        <v>95.4</v>
      </c>
      <c r="R13" s="3">
        <v>890</v>
      </c>
      <c r="S13" s="3">
        <v>140</v>
      </c>
      <c r="T13" s="3">
        <v>877</v>
      </c>
      <c r="U13" s="3"/>
      <c r="V13" s="3"/>
      <c r="W13" s="3">
        <v>9</v>
      </c>
      <c r="X13" s="3"/>
      <c r="Y13" s="3"/>
      <c r="Z13" s="3" t="s">
        <v>90</v>
      </c>
      <c r="AA13" s="3"/>
      <c r="AB13" s="6" t="s">
        <v>67</v>
      </c>
    </row>
    <row r="14" spans="1:28">
      <c r="A14" s="3" t="s">
        <v>91</v>
      </c>
      <c r="B14" s="3" t="s">
        <v>92</v>
      </c>
      <c r="C14" s="3">
        <f t="shared" si="0"/>
        <v>917</v>
      </c>
      <c r="D14" s="3" t="s">
        <v>93</v>
      </c>
      <c r="E14" s="3">
        <v>45.238199999999999</v>
      </c>
      <c r="F14" s="3">
        <v>-66.053600000000003</v>
      </c>
      <c r="G14" s="3" t="s">
        <v>94</v>
      </c>
      <c r="H14" s="3" t="s">
        <v>32</v>
      </c>
      <c r="I14" s="6" t="s">
        <v>95</v>
      </c>
      <c r="J14" s="3" t="s">
        <v>96</v>
      </c>
      <c r="K14" s="3"/>
      <c r="L14" s="3">
        <v>1550</v>
      </c>
      <c r="M14" s="3">
        <v>50</v>
      </c>
      <c r="N14" s="3" t="s">
        <v>35</v>
      </c>
      <c r="O14" s="3">
        <v>-89</v>
      </c>
      <c r="P14" s="3">
        <v>68</v>
      </c>
      <c r="Q14" s="3">
        <v>95.4</v>
      </c>
      <c r="R14" s="3">
        <v>1033</v>
      </c>
      <c r="S14" s="3">
        <v>110</v>
      </c>
      <c r="T14" s="3">
        <v>1032</v>
      </c>
      <c r="U14" s="3">
        <v>1253</v>
      </c>
      <c r="V14" s="3">
        <v>818</v>
      </c>
      <c r="W14" s="3">
        <v>6</v>
      </c>
      <c r="X14" s="3"/>
      <c r="Y14" s="3"/>
      <c r="Z14" s="3" t="s">
        <v>97</v>
      </c>
      <c r="AA14" s="3"/>
      <c r="AB14" s="8" t="s">
        <v>98</v>
      </c>
    </row>
    <row r="15" spans="1:28">
      <c r="A15" s="3" t="s">
        <v>63</v>
      </c>
      <c r="B15" s="3" t="s">
        <v>29</v>
      </c>
      <c r="C15" s="3">
        <f t="shared" si="0"/>
        <v>904</v>
      </c>
      <c r="D15" s="3" t="s">
        <v>64</v>
      </c>
      <c r="E15" s="3">
        <v>43.855148</v>
      </c>
      <c r="F15" s="3">
        <v>-69.665679999999995</v>
      </c>
      <c r="G15" s="3" t="s">
        <v>99</v>
      </c>
      <c r="H15" s="3" t="s">
        <v>42</v>
      </c>
      <c r="I15" s="3"/>
      <c r="J15" s="3" t="s">
        <v>100</v>
      </c>
      <c r="K15" s="3"/>
      <c r="L15" s="3">
        <v>1125</v>
      </c>
      <c r="M15" s="3">
        <v>120</v>
      </c>
      <c r="N15" s="3" t="s">
        <v>45</v>
      </c>
      <c r="O15" s="3" t="s">
        <v>46</v>
      </c>
      <c r="P15" s="3" t="s">
        <v>46</v>
      </c>
      <c r="Q15" s="3">
        <v>95.4</v>
      </c>
      <c r="R15" s="3">
        <v>1046</v>
      </c>
      <c r="S15" s="3">
        <v>128</v>
      </c>
      <c r="T15" s="3">
        <v>1045</v>
      </c>
      <c r="U15" s="3"/>
      <c r="V15" s="3"/>
      <c r="W15" s="3">
        <v>9</v>
      </c>
      <c r="X15" s="3" t="s">
        <v>101</v>
      </c>
      <c r="Y15" s="3"/>
      <c r="Z15" s="3" t="s">
        <v>102</v>
      </c>
      <c r="AA15" s="3"/>
      <c r="AB15" s="6" t="s">
        <v>67</v>
      </c>
    </row>
    <row r="16" spans="1:28">
      <c r="A16" s="3" t="s">
        <v>39</v>
      </c>
      <c r="B16" s="3" t="s">
        <v>29</v>
      </c>
      <c r="C16" s="3">
        <f t="shared" si="0"/>
        <v>834</v>
      </c>
      <c r="D16" s="3" t="s">
        <v>84</v>
      </c>
      <c r="E16" s="3">
        <v>44.136096999999999</v>
      </c>
      <c r="F16" s="3">
        <v>-68.849982999999995</v>
      </c>
      <c r="G16" s="3" t="s">
        <v>41</v>
      </c>
      <c r="H16" s="3" t="s">
        <v>42</v>
      </c>
      <c r="I16" s="3"/>
      <c r="J16" s="3">
        <v>4</v>
      </c>
      <c r="K16" s="3"/>
      <c r="L16" s="3">
        <v>1200</v>
      </c>
      <c r="M16" s="3">
        <v>100</v>
      </c>
      <c r="N16" s="3" t="s">
        <v>45</v>
      </c>
      <c r="O16" s="3" t="s">
        <v>46</v>
      </c>
      <c r="P16" s="3" t="s">
        <v>46</v>
      </c>
      <c r="Q16" s="3">
        <v>95.4</v>
      </c>
      <c r="R16" s="3">
        <v>1116</v>
      </c>
      <c r="S16" s="3">
        <v>103</v>
      </c>
      <c r="T16" s="3">
        <v>1118</v>
      </c>
      <c r="U16" s="3"/>
      <c r="V16" s="3"/>
      <c r="W16" s="3">
        <v>9</v>
      </c>
      <c r="X16" s="3"/>
      <c r="Y16" s="3"/>
      <c r="Z16" s="3" t="s">
        <v>103</v>
      </c>
      <c r="AA16" s="3"/>
      <c r="AB16" s="3" t="s">
        <v>104</v>
      </c>
    </row>
    <row r="17" spans="1:28">
      <c r="A17" s="3" t="s">
        <v>49</v>
      </c>
      <c r="B17" s="3" t="s">
        <v>50</v>
      </c>
      <c r="C17" s="3">
        <f t="shared" si="0"/>
        <v>831</v>
      </c>
      <c r="D17" s="3" t="s">
        <v>51</v>
      </c>
      <c r="E17" s="3">
        <v>41.322778</v>
      </c>
      <c r="F17" s="3">
        <v>-70.791325999999998</v>
      </c>
      <c r="G17" s="9" t="s">
        <v>105</v>
      </c>
      <c r="H17" s="3" t="s">
        <v>42</v>
      </c>
      <c r="I17" s="6" t="s">
        <v>53</v>
      </c>
      <c r="J17" s="3"/>
      <c r="K17" s="3"/>
      <c r="L17" s="3">
        <v>1205</v>
      </c>
      <c r="M17" s="3">
        <v>15</v>
      </c>
      <c r="N17" s="3" t="s">
        <v>45</v>
      </c>
      <c r="O17" s="3" t="s">
        <v>46</v>
      </c>
      <c r="P17" s="3" t="s">
        <v>46</v>
      </c>
      <c r="Q17" s="3">
        <v>95.4</v>
      </c>
      <c r="R17" s="3">
        <v>1119</v>
      </c>
      <c r="S17" s="3">
        <v>32</v>
      </c>
      <c r="T17" s="3">
        <v>1119</v>
      </c>
      <c r="U17" s="3"/>
      <c r="V17" s="3"/>
      <c r="W17" s="3">
        <v>4</v>
      </c>
      <c r="X17" s="3" t="s">
        <v>106</v>
      </c>
      <c r="Y17" s="3"/>
      <c r="Z17" s="3" t="s">
        <v>107</v>
      </c>
      <c r="AA17" s="3"/>
      <c r="AB17" s="5" t="s">
        <v>58</v>
      </c>
    </row>
    <row r="18" spans="1:28">
      <c r="A18" s="3" t="s">
        <v>91</v>
      </c>
      <c r="B18" s="3" t="s">
        <v>92</v>
      </c>
      <c r="C18" s="3">
        <f t="shared" si="0"/>
        <v>822</v>
      </c>
      <c r="D18" s="3" t="s">
        <v>93</v>
      </c>
      <c r="E18" s="3">
        <v>45.238199999999999</v>
      </c>
      <c r="F18" s="3">
        <v>-66.053600000000003</v>
      </c>
      <c r="G18" s="3" t="s">
        <v>94</v>
      </c>
      <c r="H18" s="3" t="s">
        <v>32</v>
      </c>
      <c r="I18" s="6" t="s">
        <v>95</v>
      </c>
      <c r="J18" s="3" t="s">
        <v>96</v>
      </c>
      <c r="K18" s="3"/>
      <c r="L18" s="3">
        <v>1650</v>
      </c>
      <c r="M18" s="3">
        <v>80</v>
      </c>
      <c r="N18" s="3" t="s">
        <v>35</v>
      </c>
      <c r="O18" s="3">
        <v>-89</v>
      </c>
      <c r="P18" s="3">
        <v>68</v>
      </c>
      <c r="Q18" s="3">
        <v>95.4</v>
      </c>
      <c r="R18" s="3">
        <v>1128</v>
      </c>
      <c r="S18" s="3">
        <v>121</v>
      </c>
      <c r="T18" s="3">
        <v>1130</v>
      </c>
      <c r="U18" s="3">
        <v>1375</v>
      </c>
      <c r="V18" s="3">
        <v>890</v>
      </c>
      <c r="W18" s="3">
        <v>6</v>
      </c>
      <c r="X18" s="3"/>
      <c r="Y18" s="3"/>
      <c r="Z18" s="3" t="s">
        <v>108</v>
      </c>
      <c r="AA18" s="3"/>
      <c r="AB18" s="8" t="s">
        <v>109</v>
      </c>
    </row>
    <row r="19" spans="1:28">
      <c r="A19" s="3" t="s">
        <v>28</v>
      </c>
      <c r="B19" s="3" t="s">
        <v>29</v>
      </c>
      <c r="C19" s="3">
        <f t="shared" si="0"/>
        <v>665</v>
      </c>
      <c r="D19" s="3" t="s">
        <v>110</v>
      </c>
      <c r="E19" s="3">
        <v>43.973346999999997</v>
      </c>
      <c r="F19" s="3">
        <v>-69.423885999999996</v>
      </c>
      <c r="G19" s="3" t="s">
        <v>41</v>
      </c>
      <c r="H19" s="3" t="s">
        <v>42</v>
      </c>
      <c r="I19" s="6" t="s">
        <v>111</v>
      </c>
      <c r="J19" s="3"/>
      <c r="K19" s="3" t="s">
        <v>112</v>
      </c>
      <c r="L19" s="3">
        <v>1380</v>
      </c>
      <c r="M19" s="3">
        <v>60</v>
      </c>
      <c r="N19" s="3" t="s">
        <v>45</v>
      </c>
      <c r="O19" s="3" t="s">
        <v>46</v>
      </c>
      <c r="P19" s="3" t="s">
        <v>46</v>
      </c>
      <c r="Q19" s="3">
        <v>95.4</v>
      </c>
      <c r="R19" s="3">
        <v>1285</v>
      </c>
      <c r="S19" s="3">
        <v>58</v>
      </c>
      <c r="T19" s="3">
        <v>1296</v>
      </c>
      <c r="U19" s="3"/>
      <c r="V19" s="3"/>
      <c r="W19" s="3">
        <v>9</v>
      </c>
      <c r="X19" s="3" t="s">
        <v>113</v>
      </c>
      <c r="Y19" s="3"/>
      <c r="Z19" s="3" t="s">
        <v>114</v>
      </c>
      <c r="AA19" s="3" t="s">
        <v>115</v>
      </c>
      <c r="AB19" s="8" t="s">
        <v>116</v>
      </c>
    </row>
    <row r="20" spans="1:28">
      <c r="A20" s="3" t="s">
        <v>39</v>
      </c>
      <c r="B20" s="3" t="s">
        <v>29</v>
      </c>
      <c r="C20" s="3">
        <f t="shared" si="0"/>
        <v>664</v>
      </c>
      <c r="D20" s="3" t="s">
        <v>40</v>
      </c>
      <c r="E20" s="3">
        <v>44.229739000000002</v>
      </c>
      <c r="F20" s="3">
        <v>-68.524191999999999</v>
      </c>
      <c r="G20" s="3" t="s">
        <v>117</v>
      </c>
      <c r="H20" s="3" t="s">
        <v>42</v>
      </c>
      <c r="I20" s="3" t="s">
        <v>43</v>
      </c>
      <c r="J20" s="3"/>
      <c r="K20" s="3" t="s">
        <v>46</v>
      </c>
      <c r="L20" s="3">
        <v>1375</v>
      </c>
      <c r="M20" s="3">
        <v>45</v>
      </c>
      <c r="N20" s="3" t="s">
        <v>45</v>
      </c>
      <c r="O20" s="3" t="s">
        <v>46</v>
      </c>
      <c r="P20" s="3" t="s">
        <v>46</v>
      </c>
      <c r="Q20" s="3">
        <v>95.4</v>
      </c>
      <c r="R20" s="3">
        <v>1286</v>
      </c>
      <c r="S20" s="3">
        <v>47</v>
      </c>
      <c r="T20" s="3">
        <v>1295</v>
      </c>
      <c r="U20" s="3"/>
      <c r="V20" s="3"/>
      <c r="W20" s="3">
        <v>4</v>
      </c>
      <c r="X20" s="3" t="s">
        <v>106</v>
      </c>
      <c r="Y20" s="3"/>
      <c r="Z20" s="3" t="s">
        <v>118</v>
      </c>
      <c r="AA20" s="3" t="s">
        <v>119</v>
      </c>
      <c r="AB20" s="5" t="s">
        <v>48</v>
      </c>
    </row>
    <row r="21" spans="1:28">
      <c r="A21" s="3" t="s">
        <v>69</v>
      </c>
      <c r="B21" s="3" t="s">
        <v>29</v>
      </c>
      <c r="C21" s="3">
        <f t="shared" si="0"/>
        <v>539</v>
      </c>
      <c r="D21" s="3" t="s">
        <v>70</v>
      </c>
      <c r="E21" s="3">
        <v>43.670678000000002</v>
      </c>
      <c r="F21" s="3">
        <v>-70.203227999999996</v>
      </c>
      <c r="G21" s="3" t="s">
        <v>41</v>
      </c>
      <c r="H21" s="3" t="s">
        <v>42</v>
      </c>
      <c r="I21" s="3"/>
      <c r="J21" s="3" t="s">
        <v>72</v>
      </c>
      <c r="K21" s="3" t="s">
        <v>120</v>
      </c>
      <c r="L21" s="3">
        <v>1520</v>
      </c>
      <c r="M21" s="3">
        <v>55</v>
      </c>
      <c r="N21" s="3" t="s">
        <v>45</v>
      </c>
      <c r="O21" s="3" t="s">
        <v>46</v>
      </c>
      <c r="P21" s="3" t="s">
        <v>46</v>
      </c>
      <c r="Q21" s="3">
        <v>95.4</v>
      </c>
      <c r="R21" s="3">
        <v>1411</v>
      </c>
      <c r="S21" s="3">
        <v>60</v>
      </c>
      <c r="T21" s="3">
        <v>1400</v>
      </c>
      <c r="U21" s="3"/>
      <c r="V21" s="3"/>
      <c r="W21" s="3">
        <v>9</v>
      </c>
      <c r="X21" s="3"/>
      <c r="Y21" s="3"/>
      <c r="Z21" s="3" t="s">
        <v>121</v>
      </c>
      <c r="AA21" s="3"/>
      <c r="AB21" s="6" t="s">
        <v>76</v>
      </c>
    </row>
    <row r="22" spans="1:28">
      <c r="A22" s="3" t="s">
        <v>122</v>
      </c>
      <c r="B22" s="3" t="s">
        <v>123</v>
      </c>
      <c r="C22" s="3">
        <f t="shared" si="0"/>
        <v>527</v>
      </c>
      <c r="D22" s="3" t="s">
        <v>124</v>
      </c>
      <c r="E22" s="3">
        <v>50.716667000000001</v>
      </c>
      <c r="F22" s="3">
        <v>-57.366667</v>
      </c>
      <c r="G22" s="3" t="s">
        <v>41</v>
      </c>
      <c r="H22" s="3" t="s">
        <v>42</v>
      </c>
      <c r="I22" s="3"/>
      <c r="J22" s="3" t="s">
        <v>125</v>
      </c>
      <c r="K22" s="3"/>
      <c r="L22" s="3">
        <v>1520</v>
      </c>
      <c r="M22" s="3">
        <v>90</v>
      </c>
      <c r="N22" s="3" t="s">
        <v>45</v>
      </c>
      <c r="O22" s="3" t="s">
        <v>46</v>
      </c>
      <c r="P22" s="3" t="s">
        <v>46</v>
      </c>
      <c r="Q22" s="3">
        <v>95.4</v>
      </c>
      <c r="R22" s="3">
        <v>1423</v>
      </c>
      <c r="S22" s="3">
        <v>85</v>
      </c>
      <c r="T22" s="3">
        <v>1415</v>
      </c>
      <c r="U22" s="3"/>
      <c r="V22" s="3"/>
      <c r="W22" s="3">
        <v>10</v>
      </c>
      <c r="X22" s="3" t="s">
        <v>126</v>
      </c>
      <c r="Y22" s="3"/>
      <c r="Z22" s="10" t="s">
        <v>127</v>
      </c>
      <c r="AA22" s="10" t="s">
        <v>128</v>
      </c>
      <c r="AB22" s="8" t="s">
        <v>129</v>
      </c>
    </row>
    <row r="23" spans="1:28">
      <c r="A23" s="3" t="s">
        <v>130</v>
      </c>
      <c r="B23" s="3" t="s">
        <v>131</v>
      </c>
      <c r="C23" s="3">
        <f t="shared" si="0"/>
        <v>206</v>
      </c>
      <c r="D23" s="3" t="s">
        <v>132</v>
      </c>
      <c r="E23" s="3">
        <v>57.4</v>
      </c>
      <c r="F23" s="3">
        <v>-7.4</v>
      </c>
      <c r="G23" s="3" t="s">
        <v>133</v>
      </c>
      <c r="H23" s="3" t="s">
        <v>32</v>
      </c>
      <c r="I23" s="3"/>
      <c r="J23" s="3" t="s">
        <v>134</v>
      </c>
      <c r="K23" s="3"/>
      <c r="L23" s="3">
        <v>2170</v>
      </c>
      <c r="M23" s="3">
        <v>50</v>
      </c>
      <c r="N23" s="3" t="s">
        <v>35</v>
      </c>
      <c r="O23" s="3">
        <v>-135</v>
      </c>
      <c r="P23" s="3">
        <v>53</v>
      </c>
      <c r="Q23" s="3">
        <v>95.4</v>
      </c>
      <c r="R23" s="3">
        <v>1744</v>
      </c>
      <c r="S23" s="3">
        <v>111</v>
      </c>
      <c r="T23" s="3">
        <v>1744</v>
      </c>
      <c r="U23" s="3">
        <v>1966</v>
      </c>
      <c r="V23" s="3">
        <v>1526</v>
      </c>
      <c r="W23" s="3">
        <v>5</v>
      </c>
      <c r="X23" s="3" t="s">
        <v>135</v>
      </c>
      <c r="Y23" s="3"/>
      <c r="Z23" s="3" t="s">
        <v>136</v>
      </c>
      <c r="AA23" s="3"/>
      <c r="AB23" s="8" t="s">
        <v>137</v>
      </c>
    </row>
    <row r="24" spans="1:28">
      <c r="A24" s="3" t="s">
        <v>130</v>
      </c>
      <c r="B24" s="3" t="s">
        <v>131</v>
      </c>
      <c r="C24" s="3">
        <f t="shared" si="0"/>
        <v>206</v>
      </c>
      <c r="D24" s="3" t="s">
        <v>132</v>
      </c>
      <c r="E24" s="3">
        <v>57.4</v>
      </c>
      <c r="F24" s="3">
        <v>-7.4</v>
      </c>
      <c r="G24" s="3" t="s">
        <v>133</v>
      </c>
      <c r="H24" s="3" t="s">
        <v>32</v>
      </c>
      <c r="I24" s="3"/>
      <c r="J24" s="3" t="s">
        <v>138</v>
      </c>
      <c r="K24" s="3"/>
      <c r="L24" s="3">
        <v>2170</v>
      </c>
      <c r="M24" s="3">
        <v>50</v>
      </c>
      <c r="N24" s="3" t="s">
        <v>35</v>
      </c>
      <c r="O24" s="3">
        <v>-135</v>
      </c>
      <c r="P24" s="3">
        <v>53</v>
      </c>
      <c r="Q24" s="3">
        <v>95.4</v>
      </c>
      <c r="R24" s="3">
        <v>1744</v>
      </c>
      <c r="S24" s="3">
        <v>111</v>
      </c>
      <c r="T24" s="3">
        <v>1744</v>
      </c>
      <c r="U24" s="3">
        <v>1966</v>
      </c>
      <c r="V24" s="3">
        <v>1526</v>
      </c>
      <c r="W24" s="3">
        <v>5</v>
      </c>
      <c r="X24" s="3" t="s">
        <v>135</v>
      </c>
      <c r="Y24" s="3"/>
      <c r="Z24" s="3" t="s">
        <v>139</v>
      </c>
      <c r="AA24" s="3"/>
      <c r="AB24" s="8" t="s">
        <v>137</v>
      </c>
    </row>
    <row r="25" spans="1:28">
      <c r="A25" s="3" t="s">
        <v>69</v>
      </c>
      <c r="B25" s="3" t="s">
        <v>29</v>
      </c>
      <c r="C25" s="3">
        <f t="shared" si="0"/>
        <v>458</v>
      </c>
      <c r="D25" s="3" t="s">
        <v>70</v>
      </c>
      <c r="E25" s="3">
        <v>43.670678000000002</v>
      </c>
      <c r="F25" s="3">
        <v>-70.203227999999996</v>
      </c>
      <c r="G25" s="3" t="s">
        <v>41</v>
      </c>
      <c r="H25" s="3" t="s">
        <v>42</v>
      </c>
      <c r="I25" s="3"/>
      <c r="J25" s="3" t="s">
        <v>72</v>
      </c>
      <c r="K25" s="3" t="s">
        <v>140</v>
      </c>
      <c r="L25" s="3">
        <v>1600</v>
      </c>
      <c r="M25" s="3">
        <v>95</v>
      </c>
      <c r="N25" s="3" t="s">
        <v>45</v>
      </c>
      <c r="O25" s="3" t="s">
        <v>46</v>
      </c>
      <c r="P25" s="3" t="s">
        <v>46</v>
      </c>
      <c r="Q25" s="3">
        <v>95.4</v>
      </c>
      <c r="R25" s="3">
        <v>1492</v>
      </c>
      <c r="S25" s="3">
        <v>98</v>
      </c>
      <c r="T25" s="3">
        <v>1484</v>
      </c>
      <c r="U25" s="3"/>
      <c r="V25" s="3"/>
      <c r="W25" s="3">
        <v>9</v>
      </c>
      <c r="X25" s="3"/>
      <c r="Y25" s="3"/>
      <c r="Z25" s="3" t="s">
        <v>141</v>
      </c>
      <c r="AA25" s="3"/>
      <c r="AB25" s="6" t="s">
        <v>76</v>
      </c>
    </row>
    <row r="26" spans="1:28">
      <c r="A26" s="3" t="s">
        <v>142</v>
      </c>
      <c r="B26" s="3" t="s">
        <v>29</v>
      </c>
      <c r="C26" s="3">
        <f t="shared" si="0"/>
        <v>434</v>
      </c>
      <c r="D26" s="3" t="s">
        <v>143</v>
      </c>
      <c r="E26" s="3">
        <v>44.197293999999999</v>
      </c>
      <c r="F26" s="3">
        <v>-68.336736000000002</v>
      </c>
      <c r="G26" s="3" t="s">
        <v>144</v>
      </c>
      <c r="H26" s="3" t="s">
        <v>32</v>
      </c>
      <c r="I26" s="3" t="s">
        <v>145</v>
      </c>
      <c r="J26" s="3"/>
      <c r="K26" s="3"/>
      <c r="L26" s="3">
        <v>2030</v>
      </c>
      <c r="M26" s="3">
        <v>70</v>
      </c>
      <c r="N26" s="3" t="s">
        <v>35</v>
      </c>
      <c r="O26" s="3">
        <v>-74</v>
      </c>
      <c r="P26" s="3">
        <v>79</v>
      </c>
      <c r="Q26" s="3">
        <v>95.4</v>
      </c>
      <c r="R26" s="3">
        <v>1516</v>
      </c>
      <c r="S26" s="3">
        <v>132</v>
      </c>
      <c r="T26" s="3">
        <v>1511</v>
      </c>
      <c r="U26" s="3">
        <v>1786</v>
      </c>
      <c r="V26" s="3">
        <v>1263</v>
      </c>
      <c r="W26" s="3">
        <v>9</v>
      </c>
      <c r="X26" s="3" t="s">
        <v>106</v>
      </c>
      <c r="Y26" s="3"/>
      <c r="Z26" s="3" t="s">
        <v>146</v>
      </c>
      <c r="AA26" s="3" t="s">
        <v>147</v>
      </c>
      <c r="AB26" s="8" t="s">
        <v>148</v>
      </c>
    </row>
    <row r="27" spans="1:28">
      <c r="A27" s="3" t="s">
        <v>130</v>
      </c>
      <c r="B27" s="3" t="s">
        <v>131</v>
      </c>
      <c r="C27" s="3">
        <f t="shared" si="0"/>
        <v>65</v>
      </c>
      <c r="D27" s="3" t="s">
        <v>132</v>
      </c>
      <c r="E27" s="3">
        <v>57.4</v>
      </c>
      <c r="F27" s="3">
        <v>-7.4</v>
      </c>
      <c r="G27" s="3" t="s">
        <v>133</v>
      </c>
      <c r="H27" s="3" t="s">
        <v>32</v>
      </c>
      <c r="I27" s="3"/>
      <c r="J27" s="3" t="s">
        <v>149</v>
      </c>
      <c r="K27" s="3"/>
      <c r="L27" s="3">
        <v>2285</v>
      </c>
      <c r="M27" s="3">
        <v>50</v>
      </c>
      <c r="N27" s="3" t="s">
        <v>35</v>
      </c>
      <c r="O27" s="3">
        <v>-135</v>
      </c>
      <c r="P27" s="3">
        <v>53</v>
      </c>
      <c r="Q27" s="3">
        <v>95.4</v>
      </c>
      <c r="R27" s="3">
        <v>1885</v>
      </c>
      <c r="S27" s="3">
        <v>114</v>
      </c>
      <c r="T27" s="3">
        <v>1884</v>
      </c>
      <c r="U27" s="3">
        <v>2120</v>
      </c>
      <c r="V27" s="3">
        <v>1664</v>
      </c>
      <c r="W27" s="3">
        <v>5</v>
      </c>
      <c r="X27" s="3" t="s">
        <v>135</v>
      </c>
      <c r="Y27" s="3"/>
      <c r="Z27" s="3" t="s">
        <v>150</v>
      </c>
      <c r="AA27" s="3"/>
      <c r="AB27" s="8" t="s">
        <v>137</v>
      </c>
    </row>
    <row r="28" spans="1:28">
      <c r="A28" s="3" t="s">
        <v>69</v>
      </c>
      <c r="B28" s="3" t="s">
        <v>29</v>
      </c>
      <c r="C28" s="3">
        <f t="shared" si="0"/>
        <v>347</v>
      </c>
      <c r="D28" s="3" t="s">
        <v>70</v>
      </c>
      <c r="E28" s="3">
        <v>43.670678000000002</v>
      </c>
      <c r="F28" s="3">
        <v>-70.203227999999996</v>
      </c>
      <c r="G28" s="3" t="s">
        <v>31</v>
      </c>
      <c r="H28" s="3" t="s">
        <v>32</v>
      </c>
      <c r="I28" s="3"/>
      <c r="J28" s="3" t="s">
        <v>151</v>
      </c>
      <c r="K28" s="3" t="s">
        <v>152</v>
      </c>
      <c r="L28" s="3">
        <v>2120</v>
      </c>
      <c r="M28" s="3">
        <v>60</v>
      </c>
      <c r="N28" s="3" t="s">
        <v>35</v>
      </c>
      <c r="O28" s="3">
        <v>-66</v>
      </c>
      <c r="P28" s="3">
        <v>42</v>
      </c>
      <c r="Q28" s="3">
        <v>95.4</v>
      </c>
      <c r="R28" s="3">
        <v>1603</v>
      </c>
      <c r="S28" s="3">
        <v>108</v>
      </c>
      <c r="T28" s="3">
        <v>1603</v>
      </c>
      <c r="U28" s="3">
        <v>1821</v>
      </c>
      <c r="V28" s="3">
        <v>1389</v>
      </c>
      <c r="W28" s="3">
        <v>6</v>
      </c>
      <c r="X28" s="3"/>
      <c r="Y28" s="3"/>
      <c r="Z28" s="3" t="s">
        <v>153</v>
      </c>
      <c r="AA28" s="3"/>
      <c r="AB28" s="6" t="s">
        <v>154</v>
      </c>
    </row>
    <row r="29" spans="1:28">
      <c r="A29" s="3" t="s">
        <v>130</v>
      </c>
      <c r="B29" s="3" t="s">
        <v>131</v>
      </c>
      <c r="C29" s="3">
        <f t="shared" si="0"/>
        <v>10</v>
      </c>
      <c r="D29" s="3" t="s">
        <v>132</v>
      </c>
      <c r="E29" s="3">
        <v>57.4</v>
      </c>
      <c r="F29" s="3">
        <v>-7.4</v>
      </c>
      <c r="G29" s="3" t="s">
        <v>133</v>
      </c>
      <c r="H29" s="3" t="s">
        <v>32</v>
      </c>
      <c r="I29" s="3"/>
      <c r="J29" s="3" t="s">
        <v>155</v>
      </c>
      <c r="K29" s="3"/>
      <c r="L29" s="3">
        <v>2330</v>
      </c>
      <c r="M29" s="3">
        <v>50</v>
      </c>
      <c r="N29" s="3" t="s">
        <v>35</v>
      </c>
      <c r="O29" s="3">
        <v>-135</v>
      </c>
      <c r="P29" s="3">
        <v>53</v>
      </c>
      <c r="Q29" s="3">
        <v>95.4</v>
      </c>
      <c r="R29" s="3">
        <v>1940</v>
      </c>
      <c r="S29" s="3">
        <v>116</v>
      </c>
      <c r="T29" s="3">
        <v>1939</v>
      </c>
      <c r="U29" s="3">
        <v>2168</v>
      </c>
      <c r="V29" s="3">
        <v>1705</v>
      </c>
      <c r="W29" s="3">
        <v>5</v>
      </c>
      <c r="X29" s="3" t="s">
        <v>135</v>
      </c>
      <c r="Y29" s="3"/>
      <c r="Z29" s="3" t="s">
        <v>156</v>
      </c>
      <c r="AA29" s="3"/>
      <c r="AB29" s="8" t="s">
        <v>137</v>
      </c>
    </row>
    <row r="30" spans="1:28">
      <c r="A30" s="3" t="s">
        <v>39</v>
      </c>
      <c r="B30" s="3" t="s">
        <v>29</v>
      </c>
      <c r="C30" s="3">
        <f t="shared" si="0"/>
        <v>234</v>
      </c>
      <c r="D30" s="3" t="s">
        <v>40</v>
      </c>
      <c r="E30" s="3">
        <v>44.229739000000002</v>
      </c>
      <c r="F30" s="3">
        <v>-68.524191999999999</v>
      </c>
      <c r="G30" s="3" t="s">
        <v>41</v>
      </c>
      <c r="H30" s="3" t="s">
        <v>42</v>
      </c>
      <c r="I30" s="3" t="s">
        <v>43</v>
      </c>
      <c r="J30" s="3"/>
      <c r="K30" s="3" t="s">
        <v>157</v>
      </c>
      <c r="L30" s="3">
        <v>1810</v>
      </c>
      <c r="M30" s="3">
        <v>100</v>
      </c>
      <c r="N30" s="3" t="s">
        <v>45</v>
      </c>
      <c r="O30" s="3" t="s">
        <v>46</v>
      </c>
      <c r="P30" s="3" t="s">
        <v>46</v>
      </c>
      <c r="Q30" s="3">
        <v>95.4</v>
      </c>
      <c r="R30" s="3">
        <v>1716</v>
      </c>
      <c r="S30" s="3">
        <v>120</v>
      </c>
      <c r="T30" s="3">
        <v>1714</v>
      </c>
      <c r="U30" s="3"/>
      <c r="V30" s="3"/>
      <c r="W30" s="3">
        <v>7</v>
      </c>
      <c r="X30" s="3"/>
      <c r="Y30" s="3"/>
      <c r="Z30" s="3" t="s">
        <v>158</v>
      </c>
      <c r="AA30" s="3"/>
      <c r="AB30" s="5" t="s">
        <v>48</v>
      </c>
    </row>
    <row r="31" spans="1:28">
      <c r="A31" s="3" t="s">
        <v>69</v>
      </c>
      <c r="B31" s="3" t="s">
        <v>29</v>
      </c>
      <c r="C31" s="3">
        <f t="shared" si="0"/>
        <v>155</v>
      </c>
      <c r="D31" s="3" t="s">
        <v>70</v>
      </c>
      <c r="E31" s="3">
        <v>43.670678000000002</v>
      </c>
      <c r="F31" s="3">
        <v>-70.203227999999996</v>
      </c>
      <c r="G31" s="3" t="s">
        <v>41</v>
      </c>
      <c r="H31" s="3" t="s">
        <v>42</v>
      </c>
      <c r="I31" s="3"/>
      <c r="J31" s="3" t="s">
        <v>159</v>
      </c>
      <c r="K31" s="3"/>
      <c r="L31" s="3">
        <v>1865</v>
      </c>
      <c r="M31" s="3">
        <v>150</v>
      </c>
      <c r="N31" s="3" t="s">
        <v>45</v>
      </c>
      <c r="O31" s="3" t="s">
        <v>46</v>
      </c>
      <c r="P31" s="3" t="s">
        <v>46</v>
      </c>
      <c r="Q31" s="3">
        <v>95.4</v>
      </c>
      <c r="R31" s="3">
        <v>1795</v>
      </c>
      <c r="S31" s="3">
        <v>183</v>
      </c>
      <c r="T31" s="3">
        <v>1788</v>
      </c>
      <c r="U31" s="3"/>
      <c r="V31" s="3"/>
      <c r="W31" s="3">
        <v>9</v>
      </c>
      <c r="X31" s="3"/>
      <c r="Y31" s="3"/>
      <c r="Z31" s="3" t="s">
        <v>160</v>
      </c>
      <c r="AA31" s="3"/>
      <c r="AB31" s="6" t="s">
        <v>76</v>
      </c>
    </row>
    <row r="32" spans="1:28">
      <c r="A32" s="3" t="s">
        <v>122</v>
      </c>
      <c r="B32" s="3" t="s">
        <v>123</v>
      </c>
      <c r="C32" s="3">
        <f t="shared" si="0"/>
        <v>140</v>
      </c>
      <c r="D32" s="3" t="s">
        <v>124</v>
      </c>
      <c r="E32" s="3">
        <v>50.716667000000001</v>
      </c>
      <c r="F32" s="3">
        <v>-57.366667</v>
      </c>
      <c r="G32" s="3" t="s">
        <v>41</v>
      </c>
      <c r="H32" s="3" t="s">
        <v>42</v>
      </c>
      <c r="I32" s="3"/>
      <c r="J32" s="3" t="s">
        <v>161</v>
      </c>
      <c r="K32" s="3"/>
      <c r="L32" s="3">
        <v>1890</v>
      </c>
      <c r="M32" s="3">
        <v>90</v>
      </c>
      <c r="N32" s="3" t="s">
        <v>45</v>
      </c>
      <c r="O32" s="3" t="s">
        <v>46</v>
      </c>
      <c r="P32" s="3" t="s">
        <v>46</v>
      </c>
      <c r="Q32" s="3">
        <v>95.4</v>
      </c>
      <c r="R32" s="3">
        <v>1810</v>
      </c>
      <c r="S32" s="3">
        <v>111</v>
      </c>
      <c r="T32" s="3">
        <v>1807</v>
      </c>
      <c r="U32" s="3"/>
      <c r="V32" s="3"/>
      <c r="W32" s="3">
        <v>10</v>
      </c>
      <c r="X32" s="3" t="s">
        <v>126</v>
      </c>
      <c r="Y32" s="10"/>
      <c r="Z32" s="10" t="s">
        <v>162</v>
      </c>
      <c r="AA32" s="10" t="s">
        <v>128</v>
      </c>
      <c r="AB32" s="11" t="s">
        <v>163</v>
      </c>
    </row>
    <row r="33" spans="1:28">
      <c r="A33" s="3" t="s">
        <v>164</v>
      </c>
      <c r="B33" s="3" t="s">
        <v>165</v>
      </c>
      <c r="C33" s="3">
        <f t="shared" si="0"/>
        <v>137</v>
      </c>
      <c r="D33" s="3" t="s">
        <v>166</v>
      </c>
      <c r="E33" s="3">
        <v>54.04</v>
      </c>
      <c r="F33" s="3">
        <v>-4.45</v>
      </c>
      <c r="G33" s="3" t="s">
        <v>41</v>
      </c>
      <c r="H33" s="3" t="s">
        <v>42</v>
      </c>
      <c r="I33" s="3"/>
      <c r="J33" s="3" t="s">
        <v>167</v>
      </c>
      <c r="K33" s="3"/>
      <c r="L33" s="3">
        <v>1880</v>
      </c>
      <c r="M33" s="3">
        <v>150</v>
      </c>
      <c r="N33" s="3" t="s">
        <v>45</v>
      </c>
      <c r="O33" s="3" t="s">
        <v>46</v>
      </c>
      <c r="P33" s="3" t="s">
        <v>46</v>
      </c>
      <c r="Q33" s="3">
        <v>95.4</v>
      </c>
      <c r="R33" s="3">
        <v>1813</v>
      </c>
      <c r="S33" s="3">
        <v>185</v>
      </c>
      <c r="T33" s="3">
        <v>1806</v>
      </c>
      <c r="U33" s="3"/>
      <c r="V33" s="3"/>
      <c r="W33" s="3">
        <v>9</v>
      </c>
      <c r="X33" s="3" t="s">
        <v>168</v>
      </c>
      <c r="Y33" s="3"/>
      <c r="Z33" s="3" t="s">
        <v>169</v>
      </c>
      <c r="AA33" s="3"/>
      <c r="AB33" s="8" t="s">
        <v>170</v>
      </c>
    </row>
    <row r="34" spans="1:28">
      <c r="A34" s="3" t="s">
        <v>171</v>
      </c>
      <c r="B34" s="3" t="s">
        <v>50</v>
      </c>
      <c r="C34" s="3">
        <f t="shared" si="0"/>
        <v>75</v>
      </c>
      <c r="D34" s="3" t="s">
        <v>172</v>
      </c>
      <c r="E34" s="3">
        <v>41.319813000000003</v>
      </c>
      <c r="F34" s="3">
        <v>-70.780682999999996</v>
      </c>
      <c r="G34" s="9" t="s">
        <v>173</v>
      </c>
      <c r="H34" s="3" t="s">
        <v>32</v>
      </c>
      <c r="I34" s="3"/>
      <c r="J34" s="3" t="s">
        <v>174</v>
      </c>
      <c r="K34" s="3" t="s">
        <v>175</v>
      </c>
      <c r="L34" s="3">
        <v>2375</v>
      </c>
      <c r="M34" s="3">
        <v>15</v>
      </c>
      <c r="N34" s="3" t="s">
        <v>35</v>
      </c>
      <c r="O34" s="3">
        <v>-39</v>
      </c>
      <c r="P34" s="3">
        <v>48</v>
      </c>
      <c r="Q34" s="3">
        <v>95.4</v>
      </c>
      <c r="R34" s="3">
        <v>1875</v>
      </c>
      <c r="S34" s="3">
        <v>93</v>
      </c>
      <c r="T34" s="3">
        <v>1875</v>
      </c>
      <c r="U34" s="3">
        <v>2071</v>
      </c>
      <c r="V34" s="3">
        <v>1696</v>
      </c>
      <c r="W34" s="3">
        <v>6</v>
      </c>
      <c r="X34" s="3" t="s">
        <v>106</v>
      </c>
      <c r="Y34" s="3" t="s">
        <v>176</v>
      </c>
      <c r="Z34" s="3" t="s">
        <v>177</v>
      </c>
      <c r="AA34" s="3"/>
      <c r="AB34" s="5" t="s">
        <v>58</v>
      </c>
    </row>
    <row r="35" spans="1:28">
      <c r="A35" s="3" t="s">
        <v>39</v>
      </c>
      <c r="B35" s="3" t="s">
        <v>29</v>
      </c>
      <c r="C35" s="3">
        <f t="shared" si="0"/>
        <v>72</v>
      </c>
      <c r="D35" s="3" t="s">
        <v>84</v>
      </c>
      <c r="E35" s="3">
        <v>44.136096999999999</v>
      </c>
      <c r="F35" s="3">
        <v>-68.849982999999995</v>
      </c>
      <c r="G35" s="3" t="s">
        <v>41</v>
      </c>
      <c r="H35" s="3" t="s">
        <v>42</v>
      </c>
      <c r="I35" s="3"/>
      <c r="J35" s="3">
        <v>4</v>
      </c>
      <c r="K35" s="3"/>
      <c r="L35" s="3">
        <v>1955</v>
      </c>
      <c r="M35" s="3">
        <v>50</v>
      </c>
      <c r="N35" s="3" t="s">
        <v>45</v>
      </c>
      <c r="O35" s="3" t="s">
        <v>46</v>
      </c>
      <c r="P35" s="3" t="s">
        <v>46</v>
      </c>
      <c r="Q35" s="3">
        <v>95.4</v>
      </c>
      <c r="R35" s="3">
        <v>1878</v>
      </c>
      <c r="S35" s="3">
        <v>67</v>
      </c>
      <c r="T35" s="3">
        <v>1880</v>
      </c>
      <c r="U35" s="3"/>
      <c r="V35" s="3"/>
      <c r="W35" s="3">
        <v>9</v>
      </c>
      <c r="X35" s="3"/>
      <c r="Y35" s="3"/>
      <c r="Z35" s="3" t="s">
        <v>178</v>
      </c>
      <c r="AA35" s="3"/>
      <c r="AB35" s="3" t="s">
        <v>104</v>
      </c>
    </row>
    <row r="36" spans="1:28">
      <c r="A36" s="3" t="s">
        <v>171</v>
      </c>
      <c r="B36" s="3" t="s">
        <v>50</v>
      </c>
      <c r="C36" s="3">
        <f t="shared" si="0"/>
        <v>-61</v>
      </c>
      <c r="D36" s="3" t="s">
        <v>172</v>
      </c>
      <c r="E36" s="3">
        <v>41.319813000000003</v>
      </c>
      <c r="F36" s="3">
        <v>-70.780682999999996</v>
      </c>
      <c r="G36" s="9" t="s">
        <v>105</v>
      </c>
      <c r="H36" s="3" t="s">
        <v>42</v>
      </c>
      <c r="I36" s="3"/>
      <c r="J36" s="3" t="s">
        <v>174</v>
      </c>
      <c r="K36" s="3"/>
      <c r="L36" s="3">
        <v>2060</v>
      </c>
      <c r="M36" s="3">
        <v>15</v>
      </c>
      <c r="N36" s="3" t="s">
        <v>45</v>
      </c>
      <c r="O36" s="3" t="s">
        <v>46</v>
      </c>
      <c r="P36" s="3" t="s">
        <v>46</v>
      </c>
      <c r="Q36" s="3">
        <v>95.4</v>
      </c>
      <c r="R36" s="3">
        <v>2011</v>
      </c>
      <c r="S36" s="3">
        <v>36</v>
      </c>
      <c r="T36" s="3">
        <v>2012</v>
      </c>
      <c r="U36" s="3"/>
      <c r="V36" s="3"/>
      <c r="W36" s="3">
        <v>6</v>
      </c>
      <c r="X36" s="3" t="s">
        <v>106</v>
      </c>
      <c r="Y36" s="3" t="s">
        <v>179</v>
      </c>
      <c r="Z36" s="3" t="s">
        <v>180</v>
      </c>
      <c r="AA36" s="3"/>
      <c r="AB36" s="5" t="s">
        <v>58</v>
      </c>
    </row>
    <row r="37" spans="1:28">
      <c r="A37" s="3" t="s">
        <v>171</v>
      </c>
      <c r="B37" s="3" t="s">
        <v>50</v>
      </c>
      <c r="C37" s="3">
        <f t="shared" si="0"/>
        <v>-94</v>
      </c>
      <c r="D37" s="3" t="s">
        <v>172</v>
      </c>
      <c r="E37" s="3">
        <v>41.319813000000003</v>
      </c>
      <c r="F37" s="3">
        <v>-70.780682999999996</v>
      </c>
      <c r="G37" s="9" t="s">
        <v>105</v>
      </c>
      <c r="H37" s="3" t="s">
        <v>42</v>
      </c>
      <c r="I37" s="3"/>
      <c r="J37" s="3" t="s">
        <v>174</v>
      </c>
      <c r="K37" s="3"/>
      <c r="L37" s="3">
        <v>2085</v>
      </c>
      <c r="M37" s="3">
        <v>15</v>
      </c>
      <c r="N37" s="3" t="s">
        <v>45</v>
      </c>
      <c r="O37" s="3" t="s">
        <v>46</v>
      </c>
      <c r="P37" s="3" t="s">
        <v>46</v>
      </c>
      <c r="Q37" s="3">
        <v>95.4</v>
      </c>
      <c r="R37" s="3">
        <v>2044</v>
      </c>
      <c r="S37" s="3">
        <v>33</v>
      </c>
      <c r="T37" s="3">
        <v>2040</v>
      </c>
      <c r="U37" s="3"/>
      <c r="V37" s="3"/>
      <c r="W37" s="3">
        <v>6</v>
      </c>
      <c r="X37" s="3" t="s">
        <v>106</v>
      </c>
      <c r="Y37" s="3" t="s">
        <v>179</v>
      </c>
      <c r="Z37" s="3" t="s">
        <v>181</v>
      </c>
      <c r="AA37" s="3"/>
      <c r="AB37" s="5" t="s">
        <v>58</v>
      </c>
    </row>
    <row r="38" spans="1:28">
      <c r="A38" s="3" t="s">
        <v>171</v>
      </c>
      <c r="B38" s="3" t="s">
        <v>50</v>
      </c>
      <c r="C38" s="3">
        <f t="shared" si="0"/>
        <v>-104</v>
      </c>
      <c r="D38" s="3" t="s">
        <v>172</v>
      </c>
      <c r="E38" s="3">
        <v>41.319813000000003</v>
      </c>
      <c r="F38" s="3">
        <v>-70.780682999999996</v>
      </c>
      <c r="G38" s="9" t="s">
        <v>105</v>
      </c>
      <c r="H38" s="3" t="s">
        <v>42</v>
      </c>
      <c r="I38" s="3"/>
      <c r="J38" s="3" t="s">
        <v>174</v>
      </c>
      <c r="K38" s="3" t="s">
        <v>55</v>
      </c>
      <c r="L38" s="3">
        <v>2095</v>
      </c>
      <c r="M38" s="3">
        <v>15</v>
      </c>
      <c r="N38" s="3" t="s">
        <v>45</v>
      </c>
      <c r="O38" s="3" t="s">
        <v>46</v>
      </c>
      <c r="P38" s="3" t="s">
        <v>46</v>
      </c>
      <c r="Q38" s="3">
        <v>95.4</v>
      </c>
      <c r="R38" s="3">
        <v>2054</v>
      </c>
      <c r="S38" s="3">
        <v>34</v>
      </c>
      <c r="T38" s="3">
        <v>2053</v>
      </c>
      <c r="U38" s="3"/>
      <c r="V38" s="3"/>
      <c r="W38" s="3">
        <v>6</v>
      </c>
      <c r="X38" s="3" t="s">
        <v>106</v>
      </c>
      <c r="Y38" s="3" t="s">
        <v>182</v>
      </c>
      <c r="Z38" s="3" t="s">
        <v>183</v>
      </c>
      <c r="AA38" s="3"/>
      <c r="AB38" s="5" t="s">
        <v>58</v>
      </c>
    </row>
    <row r="39" spans="1:28">
      <c r="A39" s="3" t="s">
        <v>171</v>
      </c>
      <c r="B39" s="3" t="s">
        <v>50</v>
      </c>
      <c r="C39" s="3">
        <f t="shared" si="0"/>
        <v>-110</v>
      </c>
      <c r="D39" s="3" t="s">
        <v>172</v>
      </c>
      <c r="E39" s="3">
        <v>41.319813000000003</v>
      </c>
      <c r="F39" s="3">
        <v>-70.780682999999996</v>
      </c>
      <c r="G39" s="9" t="s">
        <v>105</v>
      </c>
      <c r="H39" s="3" t="s">
        <v>42</v>
      </c>
      <c r="I39" s="3"/>
      <c r="J39" s="3" t="s">
        <v>184</v>
      </c>
      <c r="K39" s="3"/>
      <c r="L39" s="3">
        <v>2100</v>
      </c>
      <c r="M39" s="3">
        <v>20</v>
      </c>
      <c r="N39" s="3" t="s">
        <v>45</v>
      </c>
      <c r="O39" s="3" t="s">
        <v>46</v>
      </c>
      <c r="P39" s="3" t="s">
        <v>46</v>
      </c>
      <c r="Q39" s="3">
        <v>95.4</v>
      </c>
      <c r="R39" s="3">
        <v>2060</v>
      </c>
      <c r="S39" s="3">
        <v>40</v>
      </c>
      <c r="T39" s="3">
        <v>2059</v>
      </c>
      <c r="U39" s="3"/>
      <c r="V39" s="3"/>
      <c r="W39" s="3">
        <v>6</v>
      </c>
      <c r="X39" s="3" t="s">
        <v>106</v>
      </c>
      <c r="Y39" s="3" t="s">
        <v>185</v>
      </c>
      <c r="Z39" s="3" t="s">
        <v>186</v>
      </c>
      <c r="AA39" s="3"/>
      <c r="AB39" s="5" t="s">
        <v>58</v>
      </c>
    </row>
    <row r="40" spans="1:28">
      <c r="A40" s="3" t="s">
        <v>130</v>
      </c>
      <c r="B40" s="3" t="s">
        <v>131</v>
      </c>
      <c r="C40" s="3">
        <f t="shared" si="0"/>
        <v>-112</v>
      </c>
      <c r="D40" s="3" t="s">
        <v>132</v>
      </c>
      <c r="E40" s="3">
        <v>57.4</v>
      </c>
      <c r="F40" s="3">
        <v>-7.4</v>
      </c>
      <c r="G40" s="3" t="s">
        <v>187</v>
      </c>
      <c r="H40" s="3" t="s">
        <v>42</v>
      </c>
      <c r="I40" s="3"/>
      <c r="J40" s="3" t="s">
        <v>188</v>
      </c>
      <c r="K40" s="3"/>
      <c r="L40" s="3">
        <v>2090</v>
      </c>
      <c r="M40" s="3">
        <v>50</v>
      </c>
      <c r="N40" s="3" t="s">
        <v>45</v>
      </c>
      <c r="O40" s="3" t="s">
        <v>46</v>
      </c>
      <c r="P40" s="3" t="s">
        <v>46</v>
      </c>
      <c r="Q40" s="3">
        <v>95.4</v>
      </c>
      <c r="R40" s="3">
        <v>2062</v>
      </c>
      <c r="S40" s="3">
        <v>83</v>
      </c>
      <c r="T40" s="3">
        <v>2055</v>
      </c>
      <c r="U40" s="3"/>
      <c r="V40" s="3"/>
      <c r="W40" s="3">
        <v>4</v>
      </c>
      <c r="X40" s="3" t="s">
        <v>135</v>
      </c>
      <c r="Y40" s="3"/>
      <c r="Z40" s="3" t="s">
        <v>189</v>
      </c>
      <c r="AA40" s="3" t="s">
        <v>190</v>
      </c>
      <c r="AB40" s="8" t="s">
        <v>137</v>
      </c>
    </row>
    <row r="41" spans="1:28">
      <c r="A41" s="3" t="s">
        <v>39</v>
      </c>
      <c r="B41" s="3" t="s">
        <v>29</v>
      </c>
      <c r="C41" s="3">
        <f t="shared" si="0"/>
        <v>-139</v>
      </c>
      <c r="D41" s="3" t="s">
        <v>84</v>
      </c>
      <c r="E41" s="3">
        <v>44.136096999999999</v>
      </c>
      <c r="F41" s="3">
        <v>-68.849982999999995</v>
      </c>
      <c r="G41" s="3" t="s">
        <v>41</v>
      </c>
      <c r="H41" s="3" t="s">
        <v>42</v>
      </c>
      <c r="I41" s="3"/>
      <c r="J41" s="3">
        <v>4</v>
      </c>
      <c r="K41" s="3"/>
      <c r="L41" s="3">
        <v>2105</v>
      </c>
      <c r="M41" s="3">
        <v>75</v>
      </c>
      <c r="N41" s="3" t="s">
        <v>45</v>
      </c>
      <c r="O41" s="3" t="s">
        <v>46</v>
      </c>
      <c r="P41" s="3" t="s">
        <v>46</v>
      </c>
      <c r="Q41" s="3">
        <v>95.4</v>
      </c>
      <c r="R41" s="3">
        <v>2089</v>
      </c>
      <c r="S41" s="3">
        <v>113</v>
      </c>
      <c r="T41" s="3">
        <v>2079</v>
      </c>
      <c r="U41" s="3"/>
      <c r="V41" s="3"/>
      <c r="W41" s="3">
        <v>9</v>
      </c>
      <c r="X41" s="3"/>
      <c r="Y41" s="3"/>
      <c r="Z41" s="3" t="s">
        <v>191</v>
      </c>
      <c r="AA41" s="3"/>
      <c r="AB41" s="3" t="s">
        <v>104</v>
      </c>
    </row>
    <row r="42" spans="1:28">
      <c r="A42" s="3" t="s">
        <v>39</v>
      </c>
      <c r="B42" s="3" t="s">
        <v>29</v>
      </c>
      <c r="C42" s="3">
        <f t="shared" si="0"/>
        <v>-162</v>
      </c>
      <c r="D42" s="3" t="s">
        <v>84</v>
      </c>
      <c r="E42" s="3">
        <v>44.136096999999999</v>
      </c>
      <c r="F42" s="3">
        <v>-68.849982999999995</v>
      </c>
      <c r="G42" s="3" t="s">
        <v>31</v>
      </c>
      <c r="H42" s="3" t="s">
        <v>32</v>
      </c>
      <c r="I42" s="3"/>
      <c r="J42" s="3">
        <v>4</v>
      </c>
      <c r="K42" s="3"/>
      <c r="L42" s="3">
        <v>2530</v>
      </c>
      <c r="M42" s="3">
        <v>65</v>
      </c>
      <c r="N42" s="3" t="s">
        <v>35</v>
      </c>
      <c r="O42" s="3">
        <v>-72</v>
      </c>
      <c r="P42" s="3">
        <v>61</v>
      </c>
      <c r="Q42" s="3">
        <v>95.4</v>
      </c>
      <c r="R42" s="3">
        <v>2112</v>
      </c>
      <c r="S42" s="3">
        <v>131</v>
      </c>
      <c r="T42" s="3">
        <v>2112</v>
      </c>
      <c r="U42" s="3">
        <v>2348</v>
      </c>
      <c r="V42" s="3">
        <v>1841</v>
      </c>
      <c r="W42" s="3">
        <v>6</v>
      </c>
      <c r="X42" s="3" t="s">
        <v>101</v>
      </c>
      <c r="Y42" s="3"/>
      <c r="Z42" s="3" t="s">
        <v>192</v>
      </c>
      <c r="AA42" s="3"/>
      <c r="AB42" s="3" t="s">
        <v>104</v>
      </c>
    </row>
    <row r="43" spans="1:28">
      <c r="A43" s="3" t="s">
        <v>39</v>
      </c>
      <c r="B43" s="3" t="s">
        <v>29</v>
      </c>
      <c r="C43" s="3">
        <f t="shared" si="0"/>
        <v>-216</v>
      </c>
      <c r="D43" s="3" t="s">
        <v>84</v>
      </c>
      <c r="E43" s="3">
        <v>44.136096999999999</v>
      </c>
      <c r="F43" s="3">
        <v>-68.849982999999995</v>
      </c>
      <c r="G43" s="3" t="s">
        <v>31</v>
      </c>
      <c r="H43" s="3" t="s">
        <v>32</v>
      </c>
      <c r="I43" s="3"/>
      <c r="J43" s="3">
        <v>4</v>
      </c>
      <c r="K43" s="3"/>
      <c r="L43" s="3">
        <v>2575</v>
      </c>
      <c r="M43" s="3">
        <v>75</v>
      </c>
      <c r="N43" s="3" t="s">
        <v>35</v>
      </c>
      <c r="O43" s="3">
        <v>-72</v>
      </c>
      <c r="P43" s="3">
        <v>61</v>
      </c>
      <c r="Q43" s="3">
        <v>95.4</v>
      </c>
      <c r="R43" s="3">
        <v>2166</v>
      </c>
      <c r="S43" s="3">
        <v>140</v>
      </c>
      <c r="T43" s="3">
        <v>2167</v>
      </c>
      <c r="U43" s="3">
        <v>2451</v>
      </c>
      <c r="V43" s="3">
        <v>1880</v>
      </c>
      <c r="W43" s="3">
        <v>6</v>
      </c>
      <c r="X43" s="3" t="s">
        <v>101</v>
      </c>
      <c r="Y43" s="3"/>
      <c r="Z43" s="3" t="s">
        <v>193</v>
      </c>
      <c r="AA43" s="3"/>
      <c r="AB43" s="3" t="s">
        <v>104</v>
      </c>
    </row>
    <row r="44" spans="1:28">
      <c r="A44" s="3" t="s">
        <v>171</v>
      </c>
      <c r="B44" s="3" t="s">
        <v>50</v>
      </c>
      <c r="C44" s="3">
        <f t="shared" si="0"/>
        <v>-251</v>
      </c>
      <c r="D44" s="3" t="s">
        <v>172</v>
      </c>
      <c r="E44" s="3">
        <v>41.319813000000003</v>
      </c>
      <c r="F44" s="3">
        <v>-70.780682999999996</v>
      </c>
      <c r="G44" s="9" t="s">
        <v>105</v>
      </c>
      <c r="H44" s="3" t="s">
        <v>42</v>
      </c>
      <c r="I44" s="3"/>
      <c r="J44" s="3" t="s">
        <v>184</v>
      </c>
      <c r="K44" s="3"/>
      <c r="L44" s="3">
        <v>2165</v>
      </c>
      <c r="M44" s="3">
        <v>15</v>
      </c>
      <c r="N44" s="3" t="s">
        <v>45</v>
      </c>
      <c r="O44" s="3" t="s">
        <v>46</v>
      </c>
      <c r="P44" s="3" t="s">
        <v>46</v>
      </c>
      <c r="Q44" s="3">
        <v>95.4</v>
      </c>
      <c r="R44" s="3">
        <v>2201</v>
      </c>
      <c r="S44" s="3">
        <v>73</v>
      </c>
      <c r="T44" s="3">
        <v>2155</v>
      </c>
      <c r="U44" s="3"/>
      <c r="V44" s="3"/>
      <c r="W44" s="3">
        <v>6</v>
      </c>
      <c r="X44" s="3" t="s">
        <v>106</v>
      </c>
      <c r="Y44" s="3" t="s">
        <v>194</v>
      </c>
      <c r="Z44" s="3" t="s">
        <v>195</v>
      </c>
      <c r="AA44" s="3"/>
      <c r="AB44" s="5" t="s">
        <v>58</v>
      </c>
    </row>
    <row r="45" spans="1:28">
      <c r="A45" s="3" t="s">
        <v>39</v>
      </c>
      <c r="B45" s="3" t="s">
        <v>29</v>
      </c>
      <c r="C45" s="3">
        <f t="shared" si="0"/>
        <v>-352</v>
      </c>
      <c r="D45" s="3" t="s">
        <v>84</v>
      </c>
      <c r="E45" s="3">
        <v>44.136096999999999</v>
      </c>
      <c r="F45" s="3">
        <v>-68.849982999999995</v>
      </c>
      <c r="G45" s="3" t="s">
        <v>41</v>
      </c>
      <c r="H45" s="3" t="s">
        <v>42</v>
      </c>
      <c r="I45" s="3"/>
      <c r="J45" s="3" t="s">
        <v>196</v>
      </c>
      <c r="K45" s="3"/>
      <c r="L45" s="3">
        <v>2275</v>
      </c>
      <c r="M45" s="3">
        <v>130</v>
      </c>
      <c r="N45" s="3" t="s">
        <v>45</v>
      </c>
      <c r="O45" s="3" t="s">
        <v>46</v>
      </c>
      <c r="P45" s="3" t="s">
        <v>46</v>
      </c>
      <c r="Q45" s="3">
        <v>95.4</v>
      </c>
      <c r="R45" s="3">
        <v>2302</v>
      </c>
      <c r="S45" s="3">
        <v>190</v>
      </c>
      <c r="T45" s="3">
        <v>2286</v>
      </c>
      <c r="U45" s="3"/>
      <c r="V45" s="3"/>
      <c r="W45" s="3">
        <v>9</v>
      </c>
      <c r="X45" s="3"/>
      <c r="Y45" s="3"/>
      <c r="Z45" s="3" t="s">
        <v>197</v>
      </c>
      <c r="AA45" s="3"/>
      <c r="AB45" s="3" t="s">
        <v>104</v>
      </c>
    </row>
    <row r="46" spans="1:28">
      <c r="A46" s="3" t="s">
        <v>171</v>
      </c>
      <c r="B46" s="3" t="s">
        <v>50</v>
      </c>
      <c r="C46" s="3">
        <f t="shared" si="0"/>
        <v>-480</v>
      </c>
      <c r="D46" s="3" t="s">
        <v>172</v>
      </c>
      <c r="E46" s="3">
        <v>41.319813000000003</v>
      </c>
      <c r="F46" s="3">
        <v>-70.780682999999996</v>
      </c>
      <c r="G46" s="9" t="s">
        <v>198</v>
      </c>
      <c r="H46" s="3" t="s">
        <v>42</v>
      </c>
      <c r="I46" s="3"/>
      <c r="J46" s="3" t="s">
        <v>174</v>
      </c>
      <c r="K46" s="3"/>
      <c r="L46" s="3">
        <v>2415</v>
      </c>
      <c r="M46" s="3">
        <v>15</v>
      </c>
      <c r="N46" s="3" t="s">
        <v>45</v>
      </c>
      <c r="O46" s="3" t="s">
        <v>46</v>
      </c>
      <c r="P46" s="3" t="s">
        <v>46</v>
      </c>
      <c r="Q46" s="3">
        <v>95.4</v>
      </c>
      <c r="R46" s="3">
        <v>2430</v>
      </c>
      <c r="S46" s="3">
        <v>62</v>
      </c>
      <c r="T46" s="3">
        <v>2419</v>
      </c>
      <c r="U46" s="3"/>
      <c r="V46" s="3"/>
      <c r="W46" s="3">
        <v>6</v>
      </c>
      <c r="X46" s="3" t="s">
        <v>106</v>
      </c>
      <c r="Y46" s="3" t="s">
        <v>199</v>
      </c>
      <c r="Z46" s="3" t="s">
        <v>200</v>
      </c>
      <c r="AA46" s="3"/>
      <c r="AB46" s="5" t="s">
        <v>58</v>
      </c>
    </row>
    <row r="47" spans="1:28">
      <c r="A47" s="3" t="s">
        <v>39</v>
      </c>
      <c r="B47" s="3" t="s">
        <v>29</v>
      </c>
      <c r="C47" s="3">
        <f t="shared" si="0"/>
        <v>-873</v>
      </c>
      <c r="D47" s="3" t="s">
        <v>84</v>
      </c>
      <c r="E47" s="3">
        <v>44.136096999999999</v>
      </c>
      <c r="F47" s="3">
        <v>-68.849982999999995</v>
      </c>
      <c r="G47" s="3" t="s">
        <v>201</v>
      </c>
      <c r="H47" s="3" t="s">
        <v>42</v>
      </c>
      <c r="I47" s="3"/>
      <c r="J47" s="3">
        <v>2</v>
      </c>
      <c r="K47" s="3"/>
      <c r="L47" s="3">
        <v>2705</v>
      </c>
      <c r="M47" s="3">
        <v>60</v>
      </c>
      <c r="N47" s="3" t="s">
        <v>45</v>
      </c>
      <c r="O47" s="3" t="s">
        <v>46</v>
      </c>
      <c r="P47" s="3" t="s">
        <v>46</v>
      </c>
      <c r="Q47" s="3">
        <v>95.4</v>
      </c>
      <c r="R47" s="3">
        <v>2823</v>
      </c>
      <c r="S47" s="3">
        <v>56</v>
      </c>
      <c r="T47" s="3">
        <v>2817</v>
      </c>
      <c r="U47" s="3"/>
      <c r="V47" s="3"/>
      <c r="W47" s="3">
        <v>5</v>
      </c>
      <c r="X47" s="3" t="s">
        <v>202</v>
      </c>
      <c r="Y47" s="3"/>
      <c r="Z47" s="3" t="s">
        <v>203</v>
      </c>
      <c r="AA47" s="3" t="s">
        <v>204</v>
      </c>
      <c r="AB47" s="8" t="s">
        <v>86</v>
      </c>
    </row>
    <row r="48" spans="1:28">
      <c r="A48" s="3" t="s">
        <v>39</v>
      </c>
      <c r="B48" s="3" t="s">
        <v>29</v>
      </c>
      <c r="C48" s="3">
        <f t="shared" si="0"/>
        <v>-1037</v>
      </c>
      <c r="D48" s="3" t="s">
        <v>40</v>
      </c>
      <c r="E48" s="3">
        <v>44.229739000000002</v>
      </c>
      <c r="F48" s="3">
        <v>-68.524191999999999</v>
      </c>
      <c r="G48" s="3" t="s">
        <v>41</v>
      </c>
      <c r="H48" s="3" t="s">
        <v>42</v>
      </c>
      <c r="I48" s="6" t="s">
        <v>205</v>
      </c>
      <c r="J48" s="3"/>
      <c r="K48" s="3" t="s">
        <v>206</v>
      </c>
      <c r="L48" s="3">
        <v>2840</v>
      </c>
      <c r="M48" s="3">
        <v>105</v>
      </c>
      <c r="N48" s="3" t="s">
        <v>45</v>
      </c>
      <c r="O48" s="3" t="s">
        <v>46</v>
      </c>
      <c r="P48" s="3" t="s">
        <v>46</v>
      </c>
      <c r="Q48" s="3">
        <v>95.4</v>
      </c>
      <c r="R48" s="3">
        <v>2987</v>
      </c>
      <c r="S48" s="3">
        <v>132</v>
      </c>
      <c r="T48" s="3">
        <v>2976</v>
      </c>
      <c r="U48" s="3"/>
      <c r="V48" s="3"/>
      <c r="W48" s="3">
        <v>9</v>
      </c>
      <c r="X48" s="3"/>
      <c r="Y48" s="3"/>
      <c r="Z48" s="3" t="s">
        <v>207</v>
      </c>
      <c r="AA48" s="3"/>
      <c r="AB48" s="6" t="s">
        <v>154</v>
      </c>
    </row>
    <row r="49" spans="1:28">
      <c r="A49" s="3" t="s">
        <v>39</v>
      </c>
      <c r="B49" s="3" t="s">
        <v>29</v>
      </c>
      <c r="C49" s="3">
        <f t="shared" si="0"/>
        <v>-1070</v>
      </c>
      <c r="D49" s="3" t="s">
        <v>84</v>
      </c>
      <c r="E49" s="3">
        <v>44.136096999999999</v>
      </c>
      <c r="F49" s="3">
        <v>-68.849982999999995</v>
      </c>
      <c r="G49" s="3" t="s">
        <v>31</v>
      </c>
      <c r="H49" s="3" t="s">
        <v>32</v>
      </c>
      <c r="I49" s="3"/>
      <c r="J49" s="3">
        <v>3</v>
      </c>
      <c r="K49" s="3"/>
      <c r="L49" s="3">
        <v>3270</v>
      </c>
      <c r="M49" s="3">
        <v>75</v>
      </c>
      <c r="N49" s="3" t="s">
        <v>35</v>
      </c>
      <c r="O49" s="3">
        <v>-72</v>
      </c>
      <c r="P49" s="3">
        <v>61</v>
      </c>
      <c r="Q49" s="3">
        <v>95.4</v>
      </c>
      <c r="R49" s="3">
        <v>3020</v>
      </c>
      <c r="S49" s="3">
        <v>138</v>
      </c>
      <c r="T49" s="3">
        <v>3018</v>
      </c>
      <c r="U49" s="3">
        <v>3290</v>
      </c>
      <c r="V49" s="3">
        <v>2750</v>
      </c>
      <c r="W49" s="3">
        <v>6</v>
      </c>
      <c r="X49" s="3" t="s">
        <v>101</v>
      </c>
      <c r="Y49" s="3"/>
      <c r="Z49" s="3" t="s">
        <v>208</v>
      </c>
      <c r="AA49" s="3"/>
      <c r="AB49" s="8" t="s">
        <v>86</v>
      </c>
    </row>
    <row r="50" spans="1:28">
      <c r="A50" s="3" t="s">
        <v>171</v>
      </c>
      <c r="B50" s="3" t="s">
        <v>29</v>
      </c>
      <c r="C50" s="3">
        <f t="shared" si="0"/>
        <v>-1165</v>
      </c>
      <c r="D50" s="3" t="s">
        <v>209</v>
      </c>
      <c r="E50" s="3">
        <v>44.369433000000001</v>
      </c>
      <c r="F50" s="3">
        <v>-68.560716999999997</v>
      </c>
      <c r="G50" s="3" t="s">
        <v>144</v>
      </c>
      <c r="H50" s="3" t="s">
        <v>32</v>
      </c>
      <c r="I50" s="3"/>
      <c r="J50" s="3" t="s">
        <v>210</v>
      </c>
      <c r="K50" s="3"/>
      <c r="L50" s="3">
        <v>3380</v>
      </c>
      <c r="M50" s="3">
        <v>85</v>
      </c>
      <c r="N50" s="3" t="s">
        <v>35</v>
      </c>
      <c r="O50" s="3">
        <v>-45</v>
      </c>
      <c r="P50" s="3">
        <v>89</v>
      </c>
      <c r="Q50" s="3">
        <v>95.4</v>
      </c>
      <c r="R50" s="3">
        <v>3115</v>
      </c>
      <c r="S50" s="3">
        <v>164</v>
      </c>
      <c r="T50" s="3">
        <v>3117</v>
      </c>
      <c r="U50" s="3">
        <v>3433</v>
      </c>
      <c r="V50" s="3">
        <v>2783</v>
      </c>
      <c r="W50" s="3">
        <v>9</v>
      </c>
      <c r="X50" s="3"/>
      <c r="Y50" s="3"/>
      <c r="Z50" s="3" t="s">
        <v>211</v>
      </c>
      <c r="AA50" s="3"/>
      <c r="AB50" s="8" t="s">
        <v>212</v>
      </c>
    </row>
    <row r="51" spans="1:28">
      <c r="A51" s="3" t="s">
        <v>171</v>
      </c>
      <c r="B51" s="3" t="s">
        <v>29</v>
      </c>
      <c r="C51" s="3">
        <f t="shared" si="0"/>
        <v>-1185</v>
      </c>
      <c r="D51" s="3" t="s">
        <v>209</v>
      </c>
      <c r="E51" s="3">
        <v>44.369433000000001</v>
      </c>
      <c r="F51" s="3">
        <v>-68.560716999999997</v>
      </c>
      <c r="G51" s="3" t="s">
        <v>31</v>
      </c>
      <c r="H51" s="3" t="s">
        <v>32</v>
      </c>
      <c r="I51" s="3"/>
      <c r="J51" s="3" t="s">
        <v>210</v>
      </c>
      <c r="K51" s="3"/>
      <c r="L51" s="3">
        <v>3400</v>
      </c>
      <c r="M51" s="3">
        <v>50</v>
      </c>
      <c r="N51" s="3" t="s">
        <v>35</v>
      </c>
      <c r="O51" s="3">
        <v>-45</v>
      </c>
      <c r="P51" s="3">
        <v>89</v>
      </c>
      <c r="Q51" s="3">
        <v>95.4</v>
      </c>
      <c r="R51" s="3">
        <v>3135</v>
      </c>
      <c r="S51" s="3">
        <v>144</v>
      </c>
      <c r="T51" s="3">
        <v>3138</v>
      </c>
      <c r="U51" s="3">
        <v>3414</v>
      </c>
      <c r="V51" s="3">
        <v>2846</v>
      </c>
      <c r="W51" s="3">
        <v>5</v>
      </c>
      <c r="X51" s="3" t="s">
        <v>213</v>
      </c>
      <c r="Y51" s="3"/>
      <c r="Z51" s="3" t="s">
        <v>214</v>
      </c>
      <c r="AA51" s="3"/>
      <c r="AB51" s="8" t="s">
        <v>212</v>
      </c>
    </row>
    <row r="52" spans="1:28">
      <c r="A52" s="3" t="s">
        <v>39</v>
      </c>
      <c r="B52" s="3" t="s">
        <v>29</v>
      </c>
      <c r="C52" s="3">
        <f t="shared" si="0"/>
        <v>-1283</v>
      </c>
      <c r="D52" s="3" t="s">
        <v>84</v>
      </c>
      <c r="E52" s="3">
        <v>44.136096999999999</v>
      </c>
      <c r="F52" s="3">
        <v>-68.849982999999995</v>
      </c>
      <c r="G52" s="3" t="s">
        <v>31</v>
      </c>
      <c r="H52" s="3" t="s">
        <v>32</v>
      </c>
      <c r="I52" s="3"/>
      <c r="J52" s="3">
        <v>3</v>
      </c>
      <c r="K52" s="3"/>
      <c r="L52" s="3">
        <v>3450</v>
      </c>
      <c r="M52" s="3">
        <v>75</v>
      </c>
      <c r="N52" s="3" t="s">
        <v>35</v>
      </c>
      <c r="O52" s="3">
        <v>-72</v>
      </c>
      <c r="P52" s="3">
        <v>61</v>
      </c>
      <c r="Q52" s="3">
        <v>95.4</v>
      </c>
      <c r="R52" s="3">
        <v>3233</v>
      </c>
      <c r="S52" s="3">
        <v>137</v>
      </c>
      <c r="T52" s="3">
        <v>3238</v>
      </c>
      <c r="U52" s="3">
        <v>3506</v>
      </c>
      <c r="V52" s="3">
        <v>2945</v>
      </c>
      <c r="W52" s="3">
        <v>6</v>
      </c>
      <c r="X52" s="3" t="s">
        <v>101</v>
      </c>
      <c r="Y52" s="3"/>
      <c r="Z52" s="3" t="s">
        <v>215</v>
      </c>
      <c r="AA52" s="3"/>
      <c r="AB52" s="8" t="s">
        <v>86</v>
      </c>
    </row>
    <row r="53" spans="1:28">
      <c r="A53" s="3" t="s">
        <v>39</v>
      </c>
      <c r="B53" s="3" t="s">
        <v>29</v>
      </c>
      <c r="C53" s="3">
        <f t="shared" si="0"/>
        <v>-1365</v>
      </c>
      <c r="D53" s="3" t="s">
        <v>84</v>
      </c>
      <c r="E53" s="3">
        <v>44.136096999999999</v>
      </c>
      <c r="F53" s="3">
        <v>-68.849982999999995</v>
      </c>
      <c r="G53" s="3" t="s">
        <v>201</v>
      </c>
      <c r="H53" s="3" t="s">
        <v>42</v>
      </c>
      <c r="I53" s="3"/>
      <c r="J53" s="3">
        <v>2</v>
      </c>
      <c r="K53" s="3"/>
      <c r="L53" s="3">
        <v>3115</v>
      </c>
      <c r="M53" s="3">
        <v>65</v>
      </c>
      <c r="N53" s="3" t="s">
        <v>45</v>
      </c>
      <c r="O53" s="3" t="s">
        <v>46</v>
      </c>
      <c r="P53" s="3" t="s">
        <v>46</v>
      </c>
      <c r="Q53" s="3">
        <v>95.4</v>
      </c>
      <c r="R53" s="3">
        <v>3315</v>
      </c>
      <c r="S53" s="3">
        <v>79</v>
      </c>
      <c r="T53" s="3">
        <v>3320</v>
      </c>
      <c r="U53" s="3"/>
      <c r="V53" s="3"/>
      <c r="W53" s="3">
        <v>5</v>
      </c>
      <c r="X53" s="3" t="s">
        <v>202</v>
      </c>
      <c r="Y53" s="3"/>
      <c r="Z53" s="3" t="s">
        <v>216</v>
      </c>
      <c r="AA53" s="3"/>
      <c r="AB53" s="8" t="s">
        <v>86</v>
      </c>
    </row>
    <row r="54" spans="1:28">
      <c r="A54" s="3" t="s">
        <v>217</v>
      </c>
      <c r="B54" s="3" t="s">
        <v>218</v>
      </c>
      <c r="C54" s="3">
        <f t="shared" si="0"/>
        <v>-1421</v>
      </c>
      <c r="D54" s="3" t="s">
        <v>219</v>
      </c>
      <c r="E54" s="3">
        <v>52.065899000000002</v>
      </c>
      <c r="F54" s="3">
        <v>4.1853480000000003</v>
      </c>
      <c r="G54" s="3" t="s">
        <v>220</v>
      </c>
      <c r="H54" s="3" t="s">
        <v>32</v>
      </c>
      <c r="I54" s="3"/>
      <c r="J54" s="3"/>
      <c r="K54" s="3"/>
      <c r="L54" s="3">
        <v>3505</v>
      </c>
      <c r="M54" s="3">
        <v>45</v>
      </c>
      <c r="N54" s="3" t="s">
        <v>35</v>
      </c>
      <c r="O54" s="3">
        <v>-128</v>
      </c>
      <c r="P54" s="3">
        <v>94</v>
      </c>
      <c r="Q54" s="3">
        <v>95.4</v>
      </c>
      <c r="R54" s="3">
        <v>3371</v>
      </c>
      <c r="S54" s="3">
        <v>146</v>
      </c>
      <c r="T54" s="3">
        <v>3372</v>
      </c>
      <c r="U54" s="3">
        <v>3670</v>
      </c>
      <c r="V54" s="3">
        <v>3075</v>
      </c>
      <c r="W54" s="3">
        <v>13</v>
      </c>
      <c r="X54" s="3"/>
      <c r="Y54" s="3" t="s">
        <v>221</v>
      </c>
      <c r="Z54" s="3" t="s">
        <v>222</v>
      </c>
      <c r="AA54" s="3"/>
      <c r="AB54" s="6" t="s">
        <v>223</v>
      </c>
    </row>
    <row r="55" spans="1:28">
      <c r="A55" s="3" t="s">
        <v>39</v>
      </c>
      <c r="B55" s="3" t="s">
        <v>29</v>
      </c>
      <c r="C55" s="3">
        <f t="shared" si="0"/>
        <v>-1449</v>
      </c>
      <c r="D55" s="3" t="s">
        <v>84</v>
      </c>
      <c r="E55" s="3">
        <v>44.136096999999999</v>
      </c>
      <c r="F55" s="3">
        <v>-68.849982999999995</v>
      </c>
      <c r="G55" s="3" t="s">
        <v>41</v>
      </c>
      <c r="H55" s="3" t="s">
        <v>42</v>
      </c>
      <c r="I55" s="3"/>
      <c r="J55" s="3" t="s">
        <v>196</v>
      </c>
      <c r="K55" s="3"/>
      <c r="L55" s="3">
        <v>3185</v>
      </c>
      <c r="M55" s="3">
        <v>65</v>
      </c>
      <c r="N55" s="3" t="s">
        <v>45</v>
      </c>
      <c r="O55" s="3" t="s">
        <v>46</v>
      </c>
      <c r="P55" s="3" t="s">
        <v>46</v>
      </c>
      <c r="Q55" s="3">
        <v>95.4</v>
      </c>
      <c r="R55" s="3">
        <v>3399</v>
      </c>
      <c r="S55" s="3">
        <v>75</v>
      </c>
      <c r="T55" s="3">
        <v>3404</v>
      </c>
      <c r="U55" s="3"/>
      <c r="V55" s="3"/>
      <c r="W55" s="3">
        <v>9</v>
      </c>
      <c r="X55" s="3"/>
      <c r="Y55" s="3"/>
      <c r="Z55" s="3" t="s">
        <v>224</v>
      </c>
      <c r="AA55" s="3"/>
      <c r="AB55" s="3" t="s">
        <v>104</v>
      </c>
    </row>
    <row r="56" spans="1:28">
      <c r="A56" s="3" t="s">
        <v>171</v>
      </c>
      <c r="B56" s="3" t="s">
        <v>29</v>
      </c>
      <c r="C56" s="3">
        <f t="shared" si="0"/>
        <v>-1518</v>
      </c>
      <c r="D56" s="3" t="s">
        <v>209</v>
      </c>
      <c r="E56" s="3">
        <v>44.369433000000001</v>
      </c>
      <c r="F56" s="3">
        <v>-68.560716999999997</v>
      </c>
      <c r="G56" s="3" t="s">
        <v>144</v>
      </c>
      <c r="H56" s="3" t="s">
        <v>42</v>
      </c>
      <c r="I56" s="3"/>
      <c r="J56" s="3" t="s">
        <v>210</v>
      </c>
      <c r="K56" s="3"/>
      <c r="L56" s="3">
        <v>3240</v>
      </c>
      <c r="M56" s="3">
        <v>80</v>
      </c>
      <c r="N56" s="3" t="s">
        <v>45</v>
      </c>
      <c r="O56" s="3" t="s">
        <v>46</v>
      </c>
      <c r="P56" s="3" t="s">
        <v>46</v>
      </c>
      <c r="Q56" s="3">
        <v>95.4</v>
      </c>
      <c r="R56" s="3">
        <v>3468</v>
      </c>
      <c r="S56" s="3">
        <v>94</v>
      </c>
      <c r="T56" s="3">
        <v>3463</v>
      </c>
      <c r="U56" s="3"/>
      <c r="V56" s="3"/>
      <c r="W56" s="3">
        <v>9</v>
      </c>
      <c r="X56" s="3"/>
      <c r="Y56" s="3"/>
      <c r="Z56" s="3" t="s">
        <v>225</v>
      </c>
      <c r="AA56" s="3"/>
      <c r="AB56" s="8" t="s">
        <v>212</v>
      </c>
    </row>
    <row r="57" spans="1:28">
      <c r="A57" s="3" t="s">
        <v>226</v>
      </c>
      <c r="B57" s="3" t="s">
        <v>227</v>
      </c>
      <c r="C57" s="3">
        <f t="shared" si="0"/>
        <v>-1543</v>
      </c>
      <c r="D57" s="3" t="s">
        <v>227</v>
      </c>
      <c r="E57" s="3">
        <v>59.25</v>
      </c>
      <c r="F57" s="3">
        <v>-2.5833330000000001</v>
      </c>
      <c r="G57" s="3" t="s">
        <v>228</v>
      </c>
      <c r="H57" s="3" t="s">
        <v>42</v>
      </c>
      <c r="I57" s="3"/>
      <c r="J57" s="3" t="s">
        <v>229</v>
      </c>
      <c r="K57" s="3"/>
      <c r="L57" s="3">
        <v>3270</v>
      </c>
      <c r="M57" s="3">
        <v>50</v>
      </c>
      <c r="N57" s="3" t="s">
        <v>45</v>
      </c>
      <c r="O57" s="3" t="s">
        <v>46</v>
      </c>
      <c r="P57" s="3" t="s">
        <v>46</v>
      </c>
      <c r="Q57" s="3">
        <v>95.4</v>
      </c>
      <c r="R57" s="3">
        <v>3493</v>
      </c>
      <c r="S57" s="3">
        <v>59</v>
      </c>
      <c r="T57" s="3">
        <v>3488</v>
      </c>
      <c r="U57" s="3"/>
      <c r="V57" s="3"/>
      <c r="W57" s="3">
        <v>11</v>
      </c>
      <c r="X57" s="3" t="s">
        <v>106</v>
      </c>
      <c r="Y57" s="3"/>
      <c r="Z57" s="3" t="s">
        <v>230</v>
      </c>
      <c r="AA57" s="3"/>
      <c r="AB57" s="8" t="s">
        <v>231</v>
      </c>
    </row>
    <row r="58" spans="1:28">
      <c r="A58" s="3" t="s">
        <v>39</v>
      </c>
      <c r="B58" s="3" t="s">
        <v>29</v>
      </c>
      <c r="C58" s="3">
        <f t="shared" si="0"/>
        <v>-1553</v>
      </c>
      <c r="D58" s="3" t="s">
        <v>84</v>
      </c>
      <c r="E58" s="3">
        <v>44.136096999999999</v>
      </c>
      <c r="F58" s="3">
        <v>-68.849982999999995</v>
      </c>
      <c r="G58" s="3" t="s">
        <v>31</v>
      </c>
      <c r="H58" s="3" t="s">
        <v>32</v>
      </c>
      <c r="I58" s="3"/>
      <c r="J58" s="3">
        <v>2</v>
      </c>
      <c r="K58" s="3"/>
      <c r="L58" s="3">
        <v>3665</v>
      </c>
      <c r="M58" s="3">
        <v>55</v>
      </c>
      <c r="N58" s="3" t="s">
        <v>35</v>
      </c>
      <c r="O58" s="3">
        <v>-72</v>
      </c>
      <c r="P58" s="3">
        <v>61</v>
      </c>
      <c r="Q58" s="3">
        <v>95.4</v>
      </c>
      <c r="R58" s="3">
        <v>3503</v>
      </c>
      <c r="S58" s="3">
        <v>121</v>
      </c>
      <c r="T58" s="3">
        <v>3500</v>
      </c>
      <c r="U58" s="3">
        <v>3750</v>
      </c>
      <c r="V58" s="3">
        <v>3252</v>
      </c>
      <c r="W58" s="3">
        <v>6</v>
      </c>
      <c r="X58" s="3" t="s">
        <v>101</v>
      </c>
      <c r="Y58" s="3"/>
      <c r="Z58" s="3" t="s">
        <v>232</v>
      </c>
      <c r="AA58" s="3"/>
      <c r="AB58" s="8" t="s">
        <v>86</v>
      </c>
    </row>
    <row r="59" spans="1:28">
      <c r="A59" s="3" t="s">
        <v>39</v>
      </c>
      <c r="B59" s="3" t="s">
        <v>29</v>
      </c>
      <c r="C59" s="3">
        <f t="shared" si="0"/>
        <v>-1607</v>
      </c>
      <c r="D59" s="3" t="s">
        <v>84</v>
      </c>
      <c r="E59" s="3">
        <v>44.136096999999999</v>
      </c>
      <c r="F59" s="3">
        <v>-68.849982999999995</v>
      </c>
      <c r="G59" s="3" t="s">
        <v>31</v>
      </c>
      <c r="H59" s="3" t="s">
        <v>32</v>
      </c>
      <c r="I59" s="3"/>
      <c r="J59" s="3">
        <v>2</v>
      </c>
      <c r="K59" s="3"/>
      <c r="L59" s="3">
        <v>3710</v>
      </c>
      <c r="M59" s="3">
        <v>60</v>
      </c>
      <c r="N59" s="3" t="s">
        <v>35</v>
      </c>
      <c r="O59" s="3">
        <v>-72</v>
      </c>
      <c r="P59" s="3">
        <v>61</v>
      </c>
      <c r="Q59" s="3">
        <v>95.4</v>
      </c>
      <c r="R59" s="3">
        <v>3557</v>
      </c>
      <c r="S59" s="3">
        <v>127</v>
      </c>
      <c r="T59" s="3">
        <v>3552</v>
      </c>
      <c r="U59" s="3">
        <v>3824</v>
      </c>
      <c r="V59" s="3">
        <v>3324</v>
      </c>
      <c r="W59" s="3">
        <v>6</v>
      </c>
      <c r="X59" s="3" t="s">
        <v>101</v>
      </c>
      <c r="Y59" s="3"/>
      <c r="Z59" s="3" t="s">
        <v>233</v>
      </c>
      <c r="AA59" s="3"/>
      <c r="AB59" s="8" t="s">
        <v>86</v>
      </c>
    </row>
    <row r="60" spans="1:28">
      <c r="A60" s="3" t="s">
        <v>39</v>
      </c>
      <c r="B60" s="3" t="s">
        <v>29</v>
      </c>
      <c r="C60" s="3">
        <f t="shared" si="0"/>
        <v>-1650</v>
      </c>
      <c r="D60" s="3" t="s">
        <v>84</v>
      </c>
      <c r="E60" s="3">
        <v>44.136096999999999</v>
      </c>
      <c r="F60" s="3">
        <v>-68.849982999999995</v>
      </c>
      <c r="G60" s="3" t="s">
        <v>31</v>
      </c>
      <c r="H60" s="3" t="s">
        <v>32</v>
      </c>
      <c r="I60" s="3"/>
      <c r="J60" s="3">
        <v>2</v>
      </c>
      <c r="K60" s="10" t="s">
        <v>234</v>
      </c>
      <c r="L60" s="3">
        <v>3745</v>
      </c>
      <c r="M60" s="3">
        <v>75</v>
      </c>
      <c r="N60" s="3" t="s">
        <v>35</v>
      </c>
      <c r="O60" s="3">
        <v>-72</v>
      </c>
      <c r="P60" s="3">
        <v>61</v>
      </c>
      <c r="Q60" s="3">
        <v>95.4</v>
      </c>
      <c r="R60" s="3">
        <v>3600</v>
      </c>
      <c r="S60" s="3">
        <v>139</v>
      </c>
      <c r="T60" s="3">
        <v>3596</v>
      </c>
      <c r="U60" s="3">
        <v>3885</v>
      </c>
      <c r="V60" s="3">
        <v>3336</v>
      </c>
      <c r="W60" s="3">
        <v>6</v>
      </c>
      <c r="X60" s="3" t="s">
        <v>101</v>
      </c>
      <c r="Y60" s="3"/>
      <c r="Z60" s="3" t="s">
        <v>235</v>
      </c>
      <c r="AA60" s="3"/>
      <c r="AB60" s="8" t="s">
        <v>86</v>
      </c>
    </row>
    <row r="61" spans="1:28">
      <c r="A61" s="3" t="s">
        <v>226</v>
      </c>
      <c r="B61" s="3" t="s">
        <v>227</v>
      </c>
      <c r="C61" s="3">
        <f t="shared" si="0"/>
        <v>-1674</v>
      </c>
      <c r="D61" s="3" t="s">
        <v>227</v>
      </c>
      <c r="E61" s="3">
        <v>59.25</v>
      </c>
      <c r="F61" s="3">
        <v>-2.5833330000000001</v>
      </c>
      <c r="G61" s="3" t="s">
        <v>228</v>
      </c>
      <c r="H61" s="3" t="s">
        <v>42</v>
      </c>
      <c r="I61" s="3"/>
      <c r="J61" s="3" t="s">
        <v>229</v>
      </c>
      <c r="K61" s="3"/>
      <c r="L61" s="3">
        <v>3380</v>
      </c>
      <c r="M61" s="3">
        <v>70</v>
      </c>
      <c r="N61" s="3" t="s">
        <v>45</v>
      </c>
      <c r="O61" s="3" t="s">
        <v>46</v>
      </c>
      <c r="P61" s="3" t="s">
        <v>46</v>
      </c>
      <c r="Q61" s="3">
        <v>95.4</v>
      </c>
      <c r="R61" s="3">
        <v>3624</v>
      </c>
      <c r="S61" s="3">
        <v>96</v>
      </c>
      <c r="T61" s="3">
        <v>3618</v>
      </c>
      <c r="U61" s="3"/>
      <c r="V61" s="3"/>
      <c r="W61" s="3">
        <v>11</v>
      </c>
      <c r="X61" s="3" t="s">
        <v>106</v>
      </c>
      <c r="Y61" s="3"/>
      <c r="Z61" s="3" t="s">
        <v>236</v>
      </c>
      <c r="AA61" s="3"/>
      <c r="AB61" s="8" t="s">
        <v>231</v>
      </c>
    </row>
    <row r="62" spans="1:28">
      <c r="A62" s="3" t="s">
        <v>226</v>
      </c>
      <c r="B62" s="3" t="s">
        <v>227</v>
      </c>
      <c r="C62" s="3">
        <f t="shared" si="0"/>
        <v>-1683</v>
      </c>
      <c r="D62" s="3" t="s">
        <v>227</v>
      </c>
      <c r="E62" s="3">
        <v>59.25</v>
      </c>
      <c r="F62" s="3">
        <v>-2.5833330000000001</v>
      </c>
      <c r="G62" s="3" t="s">
        <v>228</v>
      </c>
      <c r="H62" s="3" t="s">
        <v>42</v>
      </c>
      <c r="I62" s="3"/>
      <c r="J62" s="3" t="s">
        <v>237</v>
      </c>
      <c r="K62" s="3"/>
      <c r="L62" s="3">
        <v>3390</v>
      </c>
      <c r="M62" s="3">
        <v>60</v>
      </c>
      <c r="N62" s="3" t="s">
        <v>45</v>
      </c>
      <c r="O62" s="3" t="s">
        <v>46</v>
      </c>
      <c r="P62" s="3" t="s">
        <v>46</v>
      </c>
      <c r="Q62" s="3">
        <v>95.4</v>
      </c>
      <c r="R62" s="3">
        <v>3633</v>
      </c>
      <c r="S62" s="3">
        <v>87</v>
      </c>
      <c r="T62" s="3">
        <v>3628</v>
      </c>
      <c r="U62" s="3"/>
      <c r="V62" s="3"/>
      <c r="W62" s="3">
        <v>11</v>
      </c>
      <c r="X62" s="3" t="s">
        <v>106</v>
      </c>
      <c r="Y62" s="3"/>
      <c r="Z62" s="3" t="s">
        <v>238</v>
      </c>
      <c r="AA62" s="3"/>
      <c r="AB62" s="8" t="s">
        <v>231</v>
      </c>
    </row>
    <row r="63" spans="1:28">
      <c r="A63" s="3" t="s">
        <v>39</v>
      </c>
      <c r="B63" s="3" t="s">
        <v>29</v>
      </c>
      <c r="C63" s="3">
        <f t="shared" si="0"/>
        <v>-1700</v>
      </c>
      <c r="D63" s="3" t="s">
        <v>84</v>
      </c>
      <c r="E63" s="3">
        <v>44.136096999999999</v>
      </c>
      <c r="F63" s="3">
        <v>-68.849982999999995</v>
      </c>
      <c r="G63" s="3" t="s">
        <v>31</v>
      </c>
      <c r="H63" s="3" t="s">
        <v>32</v>
      </c>
      <c r="I63" s="3"/>
      <c r="J63" s="3">
        <v>2</v>
      </c>
      <c r="K63" s="3"/>
      <c r="L63" s="3">
        <v>3785</v>
      </c>
      <c r="M63" s="3">
        <v>75</v>
      </c>
      <c r="N63" s="3" t="s">
        <v>35</v>
      </c>
      <c r="O63" s="3">
        <v>-72</v>
      </c>
      <c r="P63" s="3">
        <v>61</v>
      </c>
      <c r="Q63" s="3">
        <v>95.4</v>
      </c>
      <c r="R63" s="3">
        <v>3650</v>
      </c>
      <c r="S63" s="3">
        <v>141</v>
      </c>
      <c r="T63" s="3">
        <v>3646</v>
      </c>
      <c r="U63" s="3">
        <v>3925</v>
      </c>
      <c r="V63" s="3">
        <v>3370</v>
      </c>
      <c r="W63" s="3">
        <v>6</v>
      </c>
      <c r="X63" s="3" t="s">
        <v>101</v>
      </c>
      <c r="Y63" s="3"/>
      <c r="Z63" s="3" t="s">
        <v>239</v>
      </c>
      <c r="AA63" s="3"/>
      <c r="AB63" s="8" t="s">
        <v>86</v>
      </c>
    </row>
    <row r="64" spans="1:28">
      <c r="A64" s="3" t="s">
        <v>39</v>
      </c>
      <c r="B64" s="3" t="s">
        <v>29</v>
      </c>
      <c r="C64" s="3">
        <f t="shared" si="0"/>
        <v>-1786</v>
      </c>
      <c r="D64" s="3" t="s">
        <v>84</v>
      </c>
      <c r="E64" s="3">
        <v>44.136096999999999</v>
      </c>
      <c r="F64" s="3">
        <v>-68.849982999999995</v>
      </c>
      <c r="G64" s="3" t="s">
        <v>41</v>
      </c>
      <c r="H64" s="3" t="s">
        <v>42</v>
      </c>
      <c r="I64" s="3"/>
      <c r="J64" s="3">
        <v>3</v>
      </c>
      <c r="K64" s="3"/>
      <c r="L64" s="3">
        <v>3470</v>
      </c>
      <c r="M64" s="3">
        <v>60</v>
      </c>
      <c r="N64" s="3" t="s">
        <v>45</v>
      </c>
      <c r="O64" s="3" t="s">
        <v>46</v>
      </c>
      <c r="P64" s="3" t="s">
        <v>46</v>
      </c>
      <c r="Q64" s="3">
        <v>95.4</v>
      </c>
      <c r="R64" s="3">
        <v>3736</v>
      </c>
      <c r="S64" s="3">
        <v>84</v>
      </c>
      <c r="T64" s="3">
        <v>3739</v>
      </c>
      <c r="U64" s="3"/>
      <c r="V64" s="3"/>
      <c r="W64" s="3">
        <v>10</v>
      </c>
      <c r="X64" s="3"/>
      <c r="Y64" s="3"/>
      <c r="Z64" s="3" t="s">
        <v>240</v>
      </c>
      <c r="AA64" s="3"/>
      <c r="AB64" s="12" t="s">
        <v>86</v>
      </c>
    </row>
    <row r="65" spans="1:28">
      <c r="A65" s="3" t="s">
        <v>39</v>
      </c>
      <c r="B65" s="3" t="s">
        <v>29</v>
      </c>
      <c r="C65" s="3">
        <f t="shared" si="0"/>
        <v>-1797</v>
      </c>
      <c r="D65" s="3" t="s">
        <v>84</v>
      </c>
      <c r="E65" s="3">
        <v>44.136096999999999</v>
      </c>
      <c r="F65" s="3">
        <v>-68.849982999999995</v>
      </c>
      <c r="G65" s="3" t="s">
        <v>41</v>
      </c>
      <c r="H65" s="3" t="s">
        <v>42</v>
      </c>
      <c r="I65" s="3"/>
      <c r="J65" s="3">
        <v>3</v>
      </c>
      <c r="K65" s="3"/>
      <c r="L65" s="3">
        <v>3480</v>
      </c>
      <c r="M65" s="3">
        <v>75</v>
      </c>
      <c r="N65" s="3" t="s">
        <v>45</v>
      </c>
      <c r="O65" s="3" t="s">
        <v>46</v>
      </c>
      <c r="P65" s="3" t="s">
        <v>46</v>
      </c>
      <c r="Q65" s="3">
        <v>95.4</v>
      </c>
      <c r="R65" s="3">
        <v>3747</v>
      </c>
      <c r="S65" s="3">
        <v>102</v>
      </c>
      <c r="T65" s="3">
        <v>3749</v>
      </c>
      <c r="U65" s="3"/>
      <c r="V65" s="3"/>
      <c r="W65" s="3">
        <v>9</v>
      </c>
      <c r="X65" s="3"/>
      <c r="Y65" s="3"/>
      <c r="Z65" s="3" t="s">
        <v>241</v>
      </c>
      <c r="AA65" s="3"/>
      <c r="AB65" s="12" t="s">
        <v>86</v>
      </c>
    </row>
    <row r="66" spans="1:28">
      <c r="A66" s="3" t="s">
        <v>39</v>
      </c>
      <c r="B66" s="3" t="s">
        <v>29</v>
      </c>
      <c r="C66" s="3">
        <f t="shared" si="0"/>
        <v>-1799</v>
      </c>
      <c r="D66" s="3" t="s">
        <v>84</v>
      </c>
      <c r="E66" s="3">
        <v>44.136096999999999</v>
      </c>
      <c r="F66" s="3">
        <v>-68.849982999999995</v>
      </c>
      <c r="G66" s="3" t="s">
        <v>41</v>
      </c>
      <c r="H66" s="3" t="s">
        <v>42</v>
      </c>
      <c r="I66" s="3"/>
      <c r="J66" s="3">
        <v>2</v>
      </c>
      <c r="K66" s="3"/>
      <c r="L66" s="3">
        <v>3480</v>
      </c>
      <c r="M66" s="3">
        <v>90</v>
      </c>
      <c r="N66" s="3" t="s">
        <v>45</v>
      </c>
      <c r="O66" s="3" t="s">
        <v>46</v>
      </c>
      <c r="P66" s="3" t="s">
        <v>46</v>
      </c>
      <c r="Q66" s="3">
        <v>95.4</v>
      </c>
      <c r="R66" s="3">
        <v>3749</v>
      </c>
      <c r="S66" s="3">
        <v>121</v>
      </c>
      <c r="T66" s="3">
        <v>3749</v>
      </c>
      <c r="U66" s="3"/>
      <c r="V66" s="3"/>
      <c r="W66" s="3">
        <v>9</v>
      </c>
      <c r="X66" s="3"/>
      <c r="Y66" s="3"/>
      <c r="Z66" s="3" t="s">
        <v>242</v>
      </c>
      <c r="AA66" s="3"/>
      <c r="AB66" s="12" t="s">
        <v>86</v>
      </c>
    </row>
    <row r="67" spans="1:28">
      <c r="A67" s="3" t="s">
        <v>39</v>
      </c>
      <c r="B67" s="3" t="s">
        <v>29</v>
      </c>
      <c r="C67" s="3">
        <f t="shared" si="0"/>
        <v>-1803</v>
      </c>
      <c r="D67" s="3" t="s">
        <v>40</v>
      </c>
      <c r="E67" s="3">
        <v>44.229739000000002</v>
      </c>
      <c r="F67" s="3">
        <v>-68.524191999999999</v>
      </c>
      <c r="G67" s="3" t="s">
        <v>41</v>
      </c>
      <c r="H67" s="3" t="s">
        <v>42</v>
      </c>
      <c r="I67" s="3" t="s">
        <v>243</v>
      </c>
      <c r="J67" s="3"/>
      <c r="K67" s="3" t="s">
        <v>244</v>
      </c>
      <c r="L67" s="3">
        <v>3485</v>
      </c>
      <c r="M67" s="3">
        <v>65</v>
      </c>
      <c r="N67" s="3" t="s">
        <v>45</v>
      </c>
      <c r="O67" s="3" t="s">
        <v>46</v>
      </c>
      <c r="P67" s="3" t="s">
        <v>46</v>
      </c>
      <c r="Q67" s="3">
        <v>95.4</v>
      </c>
      <c r="R67" s="3">
        <v>3753</v>
      </c>
      <c r="S67" s="3">
        <v>90</v>
      </c>
      <c r="T67" s="3">
        <v>3755</v>
      </c>
      <c r="U67" s="3"/>
      <c r="V67" s="3"/>
      <c r="W67" s="3">
        <v>9</v>
      </c>
      <c r="X67" s="3" t="s">
        <v>101</v>
      </c>
      <c r="Y67" s="3"/>
      <c r="Z67" s="3" t="s">
        <v>245</v>
      </c>
      <c r="AA67" s="3"/>
      <c r="AB67" s="6" t="s">
        <v>154</v>
      </c>
    </row>
    <row r="68" spans="1:28">
      <c r="A68" s="3" t="s">
        <v>39</v>
      </c>
      <c r="B68" s="3" t="s">
        <v>29</v>
      </c>
      <c r="C68" s="3">
        <f t="shared" si="0"/>
        <v>-1842</v>
      </c>
      <c r="D68" s="3" t="s">
        <v>84</v>
      </c>
      <c r="E68" s="3">
        <v>44.136096999999999</v>
      </c>
      <c r="F68" s="3">
        <v>-68.849982999999995</v>
      </c>
      <c r="G68" s="3" t="s">
        <v>246</v>
      </c>
      <c r="H68" s="3" t="s">
        <v>42</v>
      </c>
      <c r="I68" s="3"/>
      <c r="J68" s="3">
        <v>3</v>
      </c>
      <c r="K68" s="3"/>
      <c r="L68" s="3">
        <v>3515</v>
      </c>
      <c r="M68" s="3">
        <v>80</v>
      </c>
      <c r="N68" s="3" t="s">
        <v>45</v>
      </c>
      <c r="O68" s="3" t="s">
        <v>46</v>
      </c>
      <c r="P68" s="3" t="s">
        <v>46</v>
      </c>
      <c r="Q68" s="3">
        <v>95.4</v>
      </c>
      <c r="R68" s="3">
        <v>3792</v>
      </c>
      <c r="S68" s="3">
        <v>111</v>
      </c>
      <c r="T68" s="3">
        <v>3788</v>
      </c>
      <c r="U68" s="3"/>
      <c r="V68" s="3"/>
      <c r="W68" s="3">
        <v>7</v>
      </c>
      <c r="X68" s="3" t="s">
        <v>101</v>
      </c>
      <c r="Y68" s="3"/>
      <c r="Z68" s="3" t="s">
        <v>247</v>
      </c>
      <c r="AA68" s="3"/>
      <c r="AB68" s="8" t="s">
        <v>86</v>
      </c>
    </row>
    <row r="69" spans="1:28">
      <c r="A69" s="3" t="s">
        <v>248</v>
      </c>
      <c r="B69" s="3" t="s">
        <v>249</v>
      </c>
      <c r="C69" s="3">
        <f t="shared" si="0"/>
        <v>-1842</v>
      </c>
      <c r="D69" s="3" t="s">
        <v>250</v>
      </c>
      <c r="E69" s="3">
        <v>66.933333000000005</v>
      </c>
      <c r="F69" s="3">
        <v>-53.683332999999998</v>
      </c>
      <c r="G69" s="3" t="s">
        <v>41</v>
      </c>
      <c r="H69" s="3" t="s">
        <v>42</v>
      </c>
      <c r="I69" s="3"/>
      <c r="J69" s="3" t="s">
        <v>251</v>
      </c>
      <c r="K69" s="3"/>
      <c r="L69" s="3">
        <v>3650</v>
      </c>
      <c r="M69" s="3">
        <v>65</v>
      </c>
      <c r="N69" s="3" t="s">
        <v>45</v>
      </c>
      <c r="O69" s="3" t="s">
        <v>46</v>
      </c>
      <c r="P69" s="3" t="s">
        <v>46</v>
      </c>
      <c r="Q69" s="3">
        <v>95.4</v>
      </c>
      <c r="R69" s="3">
        <v>3792</v>
      </c>
      <c r="S69" s="3">
        <v>116</v>
      </c>
      <c r="T69" s="3">
        <v>3788</v>
      </c>
      <c r="U69" s="3"/>
      <c r="V69" s="3"/>
      <c r="W69" s="3">
        <v>9</v>
      </c>
      <c r="X69" s="3" t="s">
        <v>252</v>
      </c>
      <c r="Y69" s="3"/>
      <c r="Z69" s="3" t="s">
        <v>253</v>
      </c>
      <c r="AA69" s="3" t="s">
        <v>254</v>
      </c>
      <c r="AB69" s="8" t="s">
        <v>255</v>
      </c>
    </row>
    <row r="70" spans="1:28">
      <c r="A70" s="3" t="s">
        <v>39</v>
      </c>
      <c r="B70" s="3" t="s">
        <v>29</v>
      </c>
      <c r="C70" s="3">
        <f t="shared" si="0"/>
        <v>-1976</v>
      </c>
      <c r="D70" s="3" t="s">
        <v>84</v>
      </c>
      <c r="E70" s="3">
        <v>44.136096999999999</v>
      </c>
      <c r="F70" s="3">
        <v>-68.849982999999995</v>
      </c>
      <c r="G70" s="3" t="s">
        <v>41</v>
      </c>
      <c r="H70" s="3" t="s">
        <v>42</v>
      </c>
      <c r="I70" s="3"/>
      <c r="J70" s="3">
        <v>3</v>
      </c>
      <c r="K70" s="3"/>
      <c r="L70" s="3">
        <v>3610</v>
      </c>
      <c r="M70" s="3">
        <v>90</v>
      </c>
      <c r="N70" s="3" t="s">
        <v>45</v>
      </c>
      <c r="O70" s="3" t="s">
        <v>46</v>
      </c>
      <c r="P70" s="3" t="s">
        <v>46</v>
      </c>
      <c r="Q70" s="3">
        <v>95.4</v>
      </c>
      <c r="R70" s="3">
        <v>3926</v>
      </c>
      <c r="S70" s="3">
        <v>130</v>
      </c>
      <c r="T70" s="3">
        <v>3924</v>
      </c>
      <c r="U70" s="3"/>
      <c r="V70" s="3"/>
      <c r="W70" s="3">
        <v>9</v>
      </c>
      <c r="X70" s="3"/>
      <c r="Y70" s="3"/>
      <c r="Z70" s="3" t="s">
        <v>256</v>
      </c>
      <c r="AA70" s="3"/>
      <c r="AB70" s="8" t="s">
        <v>86</v>
      </c>
    </row>
    <row r="71" spans="1:28">
      <c r="A71" s="3" t="s">
        <v>39</v>
      </c>
      <c r="B71" s="3" t="s">
        <v>29</v>
      </c>
      <c r="C71" s="3">
        <f t="shared" si="0"/>
        <v>-2003</v>
      </c>
      <c r="D71" s="3" t="s">
        <v>84</v>
      </c>
      <c r="E71" s="3">
        <v>44.136096999999999</v>
      </c>
      <c r="F71" s="3">
        <v>-68.849982999999995</v>
      </c>
      <c r="G71" s="3" t="s">
        <v>41</v>
      </c>
      <c r="H71" s="3" t="s">
        <v>42</v>
      </c>
      <c r="I71" s="3"/>
      <c r="J71" s="3">
        <v>3</v>
      </c>
      <c r="K71" s="3"/>
      <c r="L71" s="3">
        <v>3630</v>
      </c>
      <c r="M71" s="3">
        <v>85</v>
      </c>
      <c r="N71" s="3" t="s">
        <v>45</v>
      </c>
      <c r="O71" s="3" t="s">
        <v>46</v>
      </c>
      <c r="P71" s="3" t="s">
        <v>46</v>
      </c>
      <c r="Q71" s="3">
        <v>95.4</v>
      </c>
      <c r="R71" s="3">
        <v>3953</v>
      </c>
      <c r="S71" s="3">
        <v>123</v>
      </c>
      <c r="T71" s="3">
        <v>3951</v>
      </c>
      <c r="U71" s="3"/>
      <c r="V71" s="3"/>
      <c r="W71" s="3">
        <v>9</v>
      </c>
      <c r="X71" s="3"/>
      <c r="Y71" s="3"/>
      <c r="Z71" s="3" t="s">
        <v>257</v>
      </c>
      <c r="AA71" s="3"/>
      <c r="AB71" s="8" t="s">
        <v>86</v>
      </c>
    </row>
    <row r="72" spans="1:28">
      <c r="A72" s="3" t="s">
        <v>39</v>
      </c>
      <c r="B72" s="3" t="s">
        <v>29</v>
      </c>
      <c r="C72" s="3">
        <f t="shared" si="0"/>
        <v>-2030</v>
      </c>
      <c r="D72" s="3" t="s">
        <v>84</v>
      </c>
      <c r="E72" s="3">
        <v>44.136096999999999</v>
      </c>
      <c r="F72" s="3">
        <v>-68.849982999999995</v>
      </c>
      <c r="G72" s="3" t="s">
        <v>41</v>
      </c>
      <c r="H72" s="3" t="s">
        <v>42</v>
      </c>
      <c r="I72" s="3"/>
      <c r="J72" s="3">
        <v>3</v>
      </c>
      <c r="K72" s="3"/>
      <c r="L72" s="3">
        <v>3650</v>
      </c>
      <c r="M72" s="3">
        <v>75</v>
      </c>
      <c r="N72" s="3" t="s">
        <v>45</v>
      </c>
      <c r="O72" s="3" t="s">
        <v>46</v>
      </c>
      <c r="P72" s="3" t="s">
        <v>46</v>
      </c>
      <c r="Q72" s="3">
        <v>95.4</v>
      </c>
      <c r="R72" s="3">
        <v>3980</v>
      </c>
      <c r="S72" s="3">
        <v>109</v>
      </c>
      <c r="T72" s="3">
        <v>3976</v>
      </c>
      <c r="U72" s="3"/>
      <c r="V72" s="3"/>
      <c r="W72" s="3">
        <v>9</v>
      </c>
      <c r="X72" s="3"/>
      <c r="Y72" s="3"/>
      <c r="Z72" s="3" t="s">
        <v>258</v>
      </c>
      <c r="AA72" s="3"/>
      <c r="AB72" s="8" t="s">
        <v>86</v>
      </c>
    </row>
    <row r="73" spans="1:28">
      <c r="A73" s="3" t="s">
        <v>226</v>
      </c>
      <c r="B73" s="3" t="s">
        <v>227</v>
      </c>
      <c r="C73" s="3">
        <f t="shared" si="0"/>
        <v>-2076</v>
      </c>
      <c r="D73" s="3" t="s">
        <v>227</v>
      </c>
      <c r="E73" s="3">
        <v>59.25</v>
      </c>
      <c r="F73" s="3">
        <v>-2.5833330000000001</v>
      </c>
      <c r="G73" s="3" t="s">
        <v>228</v>
      </c>
      <c r="H73" s="3" t="s">
        <v>42</v>
      </c>
      <c r="I73" s="3"/>
      <c r="J73" s="3" t="s">
        <v>259</v>
      </c>
      <c r="K73" s="3"/>
      <c r="L73" s="3">
        <v>3550</v>
      </c>
      <c r="M73" s="3">
        <v>90</v>
      </c>
      <c r="N73" s="3" t="s">
        <v>45</v>
      </c>
      <c r="O73" s="3" t="s">
        <v>46</v>
      </c>
      <c r="P73" s="3" t="s">
        <v>46</v>
      </c>
      <c r="Q73" s="3">
        <v>95.4</v>
      </c>
      <c r="R73" s="3">
        <v>4026</v>
      </c>
      <c r="S73" s="3">
        <v>185</v>
      </c>
      <c r="T73" s="3">
        <v>4022</v>
      </c>
      <c r="U73" s="3"/>
      <c r="V73" s="3"/>
      <c r="W73" s="3">
        <v>11</v>
      </c>
      <c r="X73" s="3" t="s">
        <v>106</v>
      </c>
      <c r="Y73" s="3"/>
      <c r="Z73" s="3" t="s">
        <v>260</v>
      </c>
      <c r="AA73" s="3"/>
      <c r="AB73" s="8" t="s">
        <v>231</v>
      </c>
    </row>
    <row r="74" spans="1:28">
      <c r="A74" s="3" t="s">
        <v>261</v>
      </c>
      <c r="B74" s="3" t="s">
        <v>262</v>
      </c>
      <c r="C74" s="3">
        <f t="shared" si="0"/>
        <v>-2100</v>
      </c>
      <c r="D74" s="3" t="s">
        <v>262</v>
      </c>
      <c r="E74" s="3">
        <v>57.05</v>
      </c>
      <c r="F74" s="3">
        <v>9.9332999999999991</v>
      </c>
      <c r="G74" s="3" t="s">
        <v>220</v>
      </c>
      <c r="H74" s="3" t="s">
        <v>32</v>
      </c>
      <c r="I74" s="3"/>
      <c r="J74" s="3"/>
      <c r="K74" s="3"/>
      <c r="L74" s="3">
        <v>4130</v>
      </c>
      <c r="M74" s="3">
        <v>40</v>
      </c>
      <c r="N74" s="3" t="s">
        <v>35</v>
      </c>
      <c r="O74" s="3">
        <v>-31</v>
      </c>
      <c r="P74" s="3">
        <v>205</v>
      </c>
      <c r="Q74" s="3">
        <v>95.4</v>
      </c>
      <c r="R74" s="3">
        <v>4050</v>
      </c>
      <c r="S74" s="3">
        <v>283</v>
      </c>
      <c r="T74" s="3">
        <v>4048</v>
      </c>
      <c r="U74" s="3">
        <v>4608</v>
      </c>
      <c r="V74" s="3">
        <v>3474</v>
      </c>
      <c r="W74" s="3">
        <v>13</v>
      </c>
      <c r="X74" s="3"/>
      <c r="Y74" s="3" t="s">
        <v>263</v>
      </c>
      <c r="Z74" s="3" t="s">
        <v>264</v>
      </c>
      <c r="AA74" s="3" t="s">
        <v>265</v>
      </c>
      <c r="AB74" s="8" t="s">
        <v>266</v>
      </c>
    </row>
    <row r="75" spans="1:28">
      <c r="A75" s="3" t="s">
        <v>39</v>
      </c>
      <c r="B75" s="3" t="s">
        <v>29</v>
      </c>
      <c r="C75" s="3">
        <f t="shared" si="0"/>
        <v>-2101</v>
      </c>
      <c r="D75" s="3" t="s">
        <v>84</v>
      </c>
      <c r="E75" s="3">
        <v>44.136096999999999</v>
      </c>
      <c r="F75" s="3">
        <v>-68.849982999999995</v>
      </c>
      <c r="G75" s="3" t="s">
        <v>41</v>
      </c>
      <c r="H75" s="3" t="s">
        <v>42</v>
      </c>
      <c r="I75" s="3"/>
      <c r="J75" s="3">
        <v>3</v>
      </c>
      <c r="K75" s="3"/>
      <c r="L75" s="3">
        <v>3700</v>
      </c>
      <c r="M75" s="3">
        <v>85</v>
      </c>
      <c r="N75" s="3" t="s">
        <v>45</v>
      </c>
      <c r="O75" s="3" t="s">
        <v>46</v>
      </c>
      <c r="P75" s="3" t="s">
        <v>46</v>
      </c>
      <c r="Q75" s="3">
        <v>95.4</v>
      </c>
      <c r="R75" s="3">
        <v>4051</v>
      </c>
      <c r="S75" s="3">
        <v>126</v>
      </c>
      <c r="T75" s="3">
        <v>4045</v>
      </c>
      <c r="U75" s="3"/>
      <c r="V75" s="3"/>
      <c r="W75" s="3">
        <v>9</v>
      </c>
      <c r="X75" s="3"/>
      <c r="Y75" s="3"/>
      <c r="Z75" s="3" t="s">
        <v>267</v>
      </c>
      <c r="AA75" s="3"/>
      <c r="AB75" s="8" t="s">
        <v>86</v>
      </c>
    </row>
    <row r="76" spans="1:28">
      <c r="A76" s="3" t="s">
        <v>39</v>
      </c>
      <c r="B76" s="3" t="s">
        <v>29</v>
      </c>
      <c r="C76" s="3">
        <f t="shared" si="0"/>
        <v>-2114</v>
      </c>
      <c r="D76" s="3" t="s">
        <v>84</v>
      </c>
      <c r="E76" s="3">
        <v>44.136096999999999</v>
      </c>
      <c r="F76" s="3">
        <v>-68.849982999999995</v>
      </c>
      <c r="G76" s="3" t="s">
        <v>41</v>
      </c>
      <c r="H76" s="3" t="s">
        <v>42</v>
      </c>
      <c r="I76" s="3"/>
      <c r="J76" s="3">
        <v>3</v>
      </c>
      <c r="K76" s="3"/>
      <c r="L76" s="3">
        <v>3710</v>
      </c>
      <c r="M76" s="3">
        <v>80</v>
      </c>
      <c r="N76" s="3" t="s">
        <v>45</v>
      </c>
      <c r="O76" s="3" t="s">
        <v>46</v>
      </c>
      <c r="P76" s="3" t="s">
        <v>46</v>
      </c>
      <c r="Q76" s="3">
        <v>95.4</v>
      </c>
      <c r="R76" s="3">
        <v>4064</v>
      </c>
      <c r="S76" s="3">
        <v>120</v>
      </c>
      <c r="T76" s="3">
        <v>4057</v>
      </c>
      <c r="U76" s="3"/>
      <c r="V76" s="3"/>
      <c r="W76" s="3">
        <v>9</v>
      </c>
      <c r="X76" s="3"/>
      <c r="Y76" s="3"/>
      <c r="Z76" s="3" t="s">
        <v>268</v>
      </c>
      <c r="AA76" s="3"/>
      <c r="AB76" s="8" t="s">
        <v>86</v>
      </c>
    </row>
    <row r="77" spans="1:28">
      <c r="A77" s="3" t="s">
        <v>39</v>
      </c>
      <c r="B77" s="3" t="s">
        <v>29</v>
      </c>
      <c r="C77" s="3">
        <f t="shared" si="0"/>
        <v>-2158</v>
      </c>
      <c r="D77" s="3" t="s">
        <v>84</v>
      </c>
      <c r="E77" s="3">
        <v>44.136096999999999</v>
      </c>
      <c r="F77" s="3">
        <v>-68.849982999999995</v>
      </c>
      <c r="G77" s="3" t="s">
        <v>31</v>
      </c>
      <c r="H77" s="3" t="s">
        <v>32</v>
      </c>
      <c r="I77" s="3"/>
      <c r="J77" s="3">
        <v>2</v>
      </c>
      <c r="K77" s="3"/>
      <c r="L77" s="3">
        <v>4135</v>
      </c>
      <c r="M77" s="3">
        <v>85</v>
      </c>
      <c r="N77" s="3" t="s">
        <v>35</v>
      </c>
      <c r="O77" s="3">
        <v>-72</v>
      </c>
      <c r="P77" s="3">
        <v>61</v>
      </c>
      <c r="Q77" s="3">
        <v>95.4</v>
      </c>
      <c r="R77" s="3">
        <v>4108</v>
      </c>
      <c r="S77" s="3">
        <v>159</v>
      </c>
      <c r="T77" s="3">
        <v>4108</v>
      </c>
      <c r="U77" s="3">
        <v>4419</v>
      </c>
      <c r="V77" s="3">
        <v>3778</v>
      </c>
      <c r="W77" s="3">
        <v>6</v>
      </c>
      <c r="X77" s="3" t="s">
        <v>101</v>
      </c>
      <c r="Y77" s="3"/>
      <c r="Z77" s="3" t="s">
        <v>269</v>
      </c>
      <c r="AA77" s="3"/>
      <c r="AB77" s="8" t="s">
        <v>86</v>
      </c>
    </row>
    <row r="78" spans="1:28">
      <c r="A78" s="3" t="s">
        <v>226</v>
      </c>
      <c r="B78" s="3" t="s">
        <v>227</v>
      </c>
      <c r="C78" s="3">
        <f t="shared" si="0"/>
        <v>-2210</v>
      </c>
      <c r="D78" s="3" t="s">
        <v>227</v>
      </c>
      <c r="E78" s="3">
        <v>59.25</v>
      </c>
      <c r="F78" s="3">
        <v>-2.5833330000000001</v>
      </c>
      <c r="G78" s="3" t="s">
        <v>270</v>
      </c>
      <c r="H78" s="3" t="s">
        <v>42</v>
      </c>
      <c r="I78" s="3"/>
      <c r="J78" s="3" t="s">
        <v>271</v>
      </c>
      <c r="K78" s="3"/>
      <c r="L78" s="3">
        <v>3650</v>
      </c>
      <c r="M78" s="3">
        <v>50</v>
      </c>
      <c r="N78" s="3" t="s">
        <v>45</v>
      </c>
      <c r="O78" s="3" t="s">
        <v>46</v>
      </c>
      <c r="P78" s="3" t="s">
        <v>46</v>
      </c>
      <c r="Q78" s="3">
        <v>95.4</v>
      </c>
      <c r="R78" s="3">
        <v>4160</v>
      </c>
      <c r="S78" s="3">
        <v>154</v>
      </c>
      <c r="T78" s="3">
        <v>4160</v>
      </c>
      <c r="U78" s="3"/>
      <c r="V78" s="3"/>
      <c r="W78" s="3">
        <v>11</v>
      </c>
      <c r="X78" s="3" t="s">
        <v>106</v>
      </c>
      <c r="Y78" s="3"/>
      <c r="Z78" s="3" t="s">
        <v>272</v>
      </c>
      <c r="AA78" s="3"/>
      <c r="AB78" s="8" t="s">
        <v>231</v>
      </c>
    </row>
    <row r="79" spans="1:28">
      <c r="A79" s="3" t="s">
        <v>39</v>
      </c>
      <c r="B79" s="3" t="s">
        <v>29</v>
      </c>
      <c r="C79" s="3">
        <f t="shared" si="0"/>
        <v>-2280</v>
      </c>
      <c r="D79" s="3" t="s">
        <v>84</v>
      </c>
      <c r="E79" s="3">
        <v>44.136096999999999</v>
      </c>
      <c r="F79" s="3">
        <v>-68.849982999999995</v>
      </c>
      <c r="G79" s="3" t="s">
        <v>41</v>
      </c>
      <c r="H79" s="3" t="s">
        <v>42</v>
      </c>
      <c r="I79" s="3"/>
      <c r="J79" s="3">
        <v>3</v>
      </c>
      <c r="K79" s="3"/>
      <c r="L79" s="3">
        <v>3825</v>
      </c>
      <c r="M79" s="3">
        <v>65</v>
      </c>
      <c r="N79" s="3" t="s">
        <v>45</v>
      </c>
      <c r="O79" s="3" t="s">
        <v>46</v>
      </c>
      <c r="P79" s="3" t="s">
        <v>46</v>
      </c>
      <c r="Q79" s="3">
        <v>95.4</v>
      </c>
      <c r="R79" s="3">
        <v>4230</v>
      </c>
      <c r="S79" s="3">
        <v>104</v>
      </c>
      <c r="T79" s="3">
        <v>4229</v>
      </c>
      <c r="U79" s="3"/>
      <c r="V79" s="3"/>
      <c r="W79" s="3">
        <v>9</v>
      </c>
      <c r="X79" s="3"/>
      <c r="Y79" s="3"/>
      <c r="Z79" s="3" t="s">
        <v>273</v>
      </c>
      <c r="AA79" s="3"/>
      <c r="AB79" s="8" t="s">
        <v>86</v>
      </c>
    </row>
    <row r="80" spans="1:28">
      <c r="A80" s="3" t="s">
        <v>77</v>
      </c>
      <c r="B80" s="3" t="s">
        <v>274</v>
      </c>
      <c r="C80" s="3">
        <f t="shared" si="0"/>
        <v>-2294</v>
      </c>
      <c r="D80" s="3" t="s">
        <v>274</v>
      </c>
      <c r="E80" s="3">
        <v>70.069975999999997</v>
      </c>
      <c r="F80" s="3">
        <v>28.856909000000002</v>
      </c>
      <c r="G80" s="3" t="s">
        <v>220</v>
      </c>
      <c r="H80" s="3" t="s">
        <v>32</v>
      </c>
      <c r="I80" s="3"/>
      <c r="J80" s="3"/>
      <c r="K80" s="3"/>
      <c r="L80" s="3">
        <v>4160</v>
      </c>
      <c r="M80" s="3">
        <v>80</v>
      </c>
      <c r="N80" s="3" t="s">
        <v>35</v>
      </c>
      <c r="O80" s="3">
        <v>-153</v>
      </c>
      <c r="P80" s="3">
        <v>47</v>
      </c>
      <c r="Q80" s="3">
        <v>95.4</v>
      </c>
      <c r="R80" s="3">
        <v>4244</v>
      </c>
      <c r="S80" s="3">
        <v>145</v>
      </c>
      <c r="T80" s="3">
        <v>4245</v>
      </c>
      <c r="U80" s="3">
        <v>4528</v>
      </c>
      <c r="V80" s="3">
        <v>3952</v>
      </c>
      <c r="W80" s="3">
        <v>13</v>
      </c>
      <c r="X80" s="3"/>
      <c r="Y80" s="3" t="s">
        <v>275</v>
      </c>
      <c r="Z80" s="3" t="s">
        <v>276</v>
      </c>
      <c r="AA80" s="3" t="s">
        <v>265</v>
      </c>
      <c r="AB80" s="8" t="s">
        <v>266</v>
      </c>
    </row>
    <row r="81" spans="1:28">
      <c r="A81" s="3" t="s">
        <v>39</v>
      </c>
      <c r="B81" s="3" t="s">
        <v>29</v>
      </c>
      <c r="C81" s="3">
        <f t="shared" si="0"/>
        <v>-2316</v>
      </c>
      <c r="D81" s="3" t="s">
        <v>84</v>
      </c>
      <c r="E81" s="3">
        <v>44.136096999999999</v>
      </c>
      <c r="F81" s="3">
        <v>-68.849982999999995</v>
      </c>
      <c r="G81" s="3" t="s">
        <v>41</v>
      </c>
      <c r="H81" s="3" t="s">
        <v>42</v>
      </c>
      <c r="I81" s="3"/>
      <c r="J81" s="3">
        <v>3</v>
      </c>
      <c r="K81" s="3"/>
      <c r="L81" s="3">
        <v>3855</v>
      </c>
      <c r="M81" s="3">
        <v>75</v>
      </c>
      <c r="N81" s="3" t="s">
        <v>45</v>
      </c>
      <c r="O81" s="3" t="s">
        <v>46</v>
      </c>
      <c r="P81" s="3" t="s">
        <v>46</v>
      </c>
      <c r="Q81" s="3">
        <v>95.4</v>
      </c>
      <c r="R81" s="3">
        <v>4266</v>
      </c>
      <c r="S81" s="3">
        <v>111</v>
      </c>
      <c r="T81" s="3">
        <v>4269</v>
      </c>
      <c r="U81" s="3"/>
      <c r="V81" s="3"/>
      <c r="W81" s="3">
        <v>9</v>
      </c>
      <c r="X81" s="3"/>
      <c r="Y81" s="3"/>
      <c r="Z81" s="3" t="s">
        <v>277</v>
      </c>
      <c r="AA81" s="3"/>
      <c r="AB81" s="8" t="s">
        <v>86</v>
      </c>
    </row>
    <row r="82" spans="1:28">
      <c r="A82" s="3" t="s">
        <v>39</v>
      </c>
      <c r="B82" s="3" t="s">
        <v>29</v>
      </c>
      <c r="C82" s="3">
        <f t="shared" si="0"/>
        <v>-2401</v>
      </c>
      <c r="D82" s="3" t="s">
        <v>84</v>
      </c>
      <c r="E82" s="3">
        <v>44.136096999999999</v>
      </c>
      <c r="F82" s="3">
        <v>-68.849982999999995</v>
      </c>
      <c r="G82" s="3" t="s">
        <v>201</v>
      </c>
      <c r="H82" s="3" t="s">
        <v>42</v>
      </c>
      <c r="I82" s="3"/>
      <c r="J82" s="3">
        <v>2</v>
      </c>
      <c r="K82" s="3"/>
      <c r="L82" s="3">
        <v>3920</v>
      </c>
      <c r="M82" s="3">
        <v>25</v>
      </c>
      <c r="N82" s="3" t="s">
        <v>45</v>
      </c>
      <c r="O82" s="3" t="s">
        <v>46</v>
      </c>
      <c r="P82" s="3" t="s">
        <v>46</v>
      </c>
      <c r="Q82" s="3">
        <v>95.4</v>
      </c>
      <c r="R82" s="3">
        <v>4351</v>
      </c>
      <c r="S82" s="3">
        <v>48</v>
      </c>
      <c r="T82" s="3">
        <v>4357</v>
      </c>
      <c r="U82" s="3"/>
      <c r="V82" s="3"/>
      <c r="W82" s="3">
        <v>6</v>
      </c>
      <c r="X82" s="3" t="s">
        <v>202</v>
      </c>
      <c r="Y82" s="3"/>
      <c r="Z82" s="3" t="s">
        <v>278</v>
      </c>
      <c r="AA82" s="3"/>
      <c r="AB82" s="12" t="s">
        <v>86</v>
      </c>
    </row>
    <row r="83" spans="1:28">
      <c r="A83" s="3" t="s">
        <v>39</v>
      </c>
      <c r="B83" s="3" t="s">
        <v>29</v>
      </c>
      <c r="C83" s="3">
        <f t="shared" si="0"/>
        <v>-2536</v>
      </c>
      <c r="D83" s="3" t="s">
        <v>84</v>
      </c>
      <c r="E83" s="3">
        <v>44.136096999999999</v>
      </c>
      <c r="F83" s="3">
        <v>-68.849982999999995</v>
      </c>
      <c r="G83" s="3" t="s">
        <v>41</v>
      </c>
      <c r="H83" s="3" t="s">
        <v>42</v>
      </c>
      <c r="I83" s="3"/>
      <c r="J83" s="3">
        <v>2</v>
      </c>
      <c r="K83" s="3"/>
      <c r="L83" s="3">
        <v>4005</v>
      </c>
      <c r="M83" s="3">
        <v>55</v>
      </c>
      <c r="N83" s="3" t="s">
        <v>45</v>
      </c>
      <c r="O83" s="3" t="s">
        <v>46</v>
      </c>
      <c r="P83" s="3" t="s">
        <v>46</v>
      </c>
      <c r="Q83" s="3">
        <v>95.4</v>
      </c>
      <c r="R83" s="3">
        <v>4486</v>
      </c>
      <c r="S83" s="3">
        <v>95</v>
      </c>
      <c r="T83" s="3">
        <v>4480</v>
      </c>
      <c r="U83" s="3"/>
      <c r="V83" s="3"/>
      <c r="W83" s="3">
        <v>9</v>
      </c>
      <c r="X83" s="3"/>
      <c r="Y83" s="3"/>
      <c r="Z83" s="3" t="s">
        <v>279</v>
      </c>
      <c r="AA83" s="3"/>
      <c r="AB83" s="12" t="s">
        <v>86</v>
      </c>
    </row>
    <row r="84" spans="1:28">
      <c r="A84" s="3" t="s">
        <v>39</v>
      </c>
      <c r="B84" s="3" t="s">
        <v>29</v>
      </c>
      <c r="C84" s="3">
        <f t="shared" si="0"/>
        <v>-2571</v>
      </c>
      <c r="D84" s="3" t="s">
        <v>84</v>
      </c>
      <c r="E84" s="3">
        <v>44.136096999999999</v>
      </c>
      <c r="F84" s="3">
        <v>-68.849982999999995</v>
      </c>
      <c r="G84" s="3" t="s">
        <v>41</v>
      </c>
      <c r="H84" s="3" t="s">
        <v>42</v>
      </c>
      <c r="I84" s="3"/>
      <c r="J84" s="3">
        <v>3</v>
      </c>
      <c r="K84" s="3"/>
      <c r="L84" s="3">
        <v>4020</v>
      </c>
      <c r="M84" s="3" t="s">
        <v>280</v>
      </c>
      <c r="N84" s="3" t="s">
        <v>45</v>
      </c>
      <c r="O84" s="3" t="s">
        <v>46</v>
      </c>
      <c r="P84" s="3" t="s">
        <v>46</v>
      </c>
      <c r="Q84" s="3">
        <v>95.4</v>
      </c>
      <c r="R84" s="3">
        <v>4521</v>
      </c>
      <c r="S84" s="3">
        <v>138</v>
      </c>
      <c r="T84" s="3">
        <v>4507</v>
      </c>
      <c r="U84" s="3"/>
      <c r="V84" s="3"/>
      <c r="W84" s="3">
        <v>9</v>
      </c>
      <c r="X84" s="3"/>
      <c r="Y84" s="3"/>
      <c r="Z84" s="3" t="s">
        <v>281</v>
      </c>
      <c r="AA84" s="3"/>
      <c r="AB84" s="12" t="s">
        <v>86</v>
      </c>
    </row>
    <row r="85" spans="1:28">
      <c r="A85" s="3" t="s">
        <v>39</v>
      </c>
      <c r="B85" s="3" t="s">
        <v>29</v>
      </c>
      <c r="C85" s="3">
        <f t="shared" si="0"/>
        <v>-2594</v>
      </c>
      <c r="D85" s="3" t="s">
        <v>84</v>
      </c>
      <c r="E85" s="3">
        <v>44.136096999999999</v>
      </c>
      <c r="F85" s="3">
        <v>-68.849982999999995</v>
      </c>
      <c r="G85" s="3" t="s">
        <v>41</v>
      </c>
      <c r="H85" s="3" t="s">
        <v>42</v>
      </c>
      <c r="I85" s="3"/>
      <c r="J85" s="3">
        <v>2</v>
      </c>
      <c r="K85" s="3"/>
      <c r="L85" s="3">
        <v>4050</v>
      </c>
      <c r="M85" s="3">
        <v>220</v>
      </c>
      <c r="N85" s="3" t="s">
        <v>45</v>
      </c>
      <c r="O85" s="3" t="s">
        <v>46</v>
      </c>
      <c r="P85" s="3" t="s">
        <v>46</v>
      </c>
      <c r="Q85" s="3">
        <v>95.4</v>
      </c>
      <c r="R85" s="3">
        <v>4544</v>
      </c>
      <c r="S85" s="3">
        <v>310</v>
      </c>
      <c r="T85" s="3">
        <v>4543</v>
      </c>
      <c r="U85" s="3"/>
      <c r="V85" s="3"/>
      <c r="W85" s="3">
        <v>9</v>
      </c>
      <c r="X85" s="3"/>
      <c r="Y85" s="3"/>
      <c r="Z85" s="3" t="s">
        <v>282</v>
      </c>
      <c r="AA85" s="3" t="s">
        <v>283</v>
      </c>
      <c r="AB85" s="12" t="s">
        <v>86</v>
      </c>
    </row>
    <row r="86" spans="1:28">
      <c r="A86" s="3" t="s">
        <v>77</v>
      </c>
      <c r="B86" s="3" t="s">
        <v>284</v>
      </c>
      <c r="C86" s="3">
        <f t="shared" si="0"/>
        <v>-2710</v>
      </c>
      <c r="D86" s="3" t="s">
        <v>284</v>
      </c>
      <c r="E86" s="3">
        <v>60.725555999999997</v>
      </c>
      <c r="F86" s="3">
        <v>4.9761110000000004</v>
      </c>
      <c r="G86" s="3" t="s">
        <v>41</v>
      </c>
      <c r="H86" s="3" t="s">
        <v>42</v>
      </c>
      <c r="I86" s="3"/>
      <c r="J86" s="3" t="s">
        <v>285</v>
      </c>
      <c r="K86" s="3"/>
      <c r="L86" s="3">
        <v>4280</v>
      </c>
      <c r="M86" s="3">
        <v>60</v>
      </c>
      <c r="N86" s="3" t="s">
        <v>45</v>
      </c>
      <c r="O86" s="3" t="s">
        <v>46</v>
      </c>
      <c r="P86" s="3" t="s">
        <v>46</v>
      </c>
      <c r="Q86" s="3">
        <v>95.4</v>
      </c>
      <c r="R86" s="3">
        <v>4660</v>
      </c>
      <c r="S86" s="3">
        <v>111</v>
      </c>
      <c r="T86" s="3">
        <v>4663</v>
      </c>
      <c r="U86" s="3"/>
      <c r="V86" s="3"/>
      <c r="W86" s="3">
        <v>8</v>
      </c>
      <c r="X86" s="3" t="s">
        <v>286</v>
      </c>
      <c r="Y86" s="10"/>
      <c r="Z86" s="10" t="s">
        <v>287</v>
      </c>
      <c r="AA86" s="3" t="s">
        <v>168</v>
      </c>
      <c r="AB86" s="8" t="s">
        <v>288</v>
      </c>
    </row>
    <row r="87" spans="1:28">
      <c r="A87" s="3" t="s">
        <v>77</v>
      </c>
      <c r="B87" s="3" t="s">
        <v>284</v>
      </c>
      <c r="C87" s="3">
        <f t="shared" si="0"/>
        <v>-2759</v>
      </c>
      <c r="D87" s="3" t="s">
        <v>284</v>
      </c>
      <c r="E87" s="3">
        <v>60.725555999999997</v>
      </c>
      <c r="F87" s="3">
        <v>4.9761110000000004</v>
      </c>
      <c r="G87" s="3" t="s">
        <v>41</v>
      </c>
      <c r="H87" s="3" t="s">
        <v>42</v>
      </c>
      <c r="I87" s="3"/>
      <c r="J87" s="3" t="s">
        <v>285</v>
      </c>
      <c r="K87" s="3"/>
      <c r="L87" s="3">
        <v>4340</v>
      </c>
      <c r="M87" s="3">
        <v>50</v>
      </c>
      <c r="N87" s="3" t="s">
        <v>45</v>
      </c>
      <c r="O87" s="3" t="s">
        <v>46</v>
      </c>
      <c r="P87" s="3" t="s">
        <v>46</v>
      </c>
      <c r="Q87" s="3">
        <v>95.4</v>
      </c>
      <c r="R87" s="3">
        <v>4709</v>
      </c>
      <c r="S87" s="3">
        <v>100</v>
      </c>
      <c r="T87" s="3">
        <v>4713</v>
      </c>
      <c r="U87" s="3"/>
      <c r="V87" s="3"/>
      <c r="W87" s="3">
        <v>8</v>
      </c>
      <c r="X87" s="3" t="s">
        <v>286</v>
      </c>
      <c r="Y87" s="10"/>
      <c r="Z87" s="10" t="s">
        <v>289</v>
      </c>
      <c r="AA87" s="3" t="s">
        <v>168</v>
      </c>
      <c r="AB87" s="8" t="s">
        <v>288</v>
      </c>
    </row>
    <row r="88" spans="1:28">
      <c r="A88" s="3" t="s">
        <v>77</v>
      </c>
      <c r="B88" s="3" t="s">
        <v>284</v>
      </c>
      <c r="C88" s="3">
        <f t="shared" si="0"/>
        <v>-2765</v>
      </c>
      <c r="D88" s="3" t="s">
        <v>284</v>
      </c>
      <c r="E88" s="3">
        <v>60.725555999999997</v>
      </c>
      <c r="F88" s="3">
        <v>4.9761110000000004</v>
      </c>
      <c r="G88" s="3" t="s">
        <v>41</v>
      </c>
      <c r="H88" s="3" t="s">
        <v>42</v>
      </c>
      <c r="I88" s="3"/>
      <c r="J88" s="3" t="s">
        <v>285</v>
      </c>
      <c r="K88" s="3"/>
      <c r="L88" s="3">
        <v>4340</v>
      </c>
      <c r="M88" s="3">
        <v>90</v>
      </c>
      <c r="N88" s="3" t="s">
        <v>45</v>
      </c>
      <c r="O88" s="3" t="s">
        <v>46</v>
      </c>
      <c r="P88" s="3" t="s">
        <v>46</v>
      </c>
      <c r="Q88" s="3">
        <v>95.4</v>
      </c>
      <c r="R88" s="3">
        <v>4715</v>
      </c>
      <c r="S88" s="3">
        <v>144</v>
      </c>
      <c r="T88" s="3">
        <v>4714</v>
      </c>
      <c r="U88" s="3"/>
      <c r="V88" s="3"/>
      <c r="W88" s="3">
        <v>8</v>
      </c>
      <c r="X88" s="3" t="s">
        <v>286</v>
      </c>
      <c r="Y88" s="10"/>
      <c r="Z88" s="10" t="s">
        <v>290</v>
      </c>
      <c r="AA88" s="3" t="s">
        <v>168</v>
      </c>
      <c r="AB88" s="8" t="s">
        <v>288</v>
      </c>
    </row>
    <row r="89" spans="1:28">
      <c r="A89" s="3" t="s">
        <v>226</v>
      </c>
      <c r="B89" s="3" t="s">
        <v>227</v>
      </c>
      <c r="C89" s="3">
        <f t="shared" si="0"/>
        <v>-2782</v>
      </c>
      <c r="D89" s="3" t="s">
        <v>227</v>
      </c>
      <c r="E89" s="3">
        <v>59.25</v>
      </c>
      <c r="F89" s="3">
        <v>-2.5833330000000001</v>
      </c>
      <c r="G89" s="3" t="s">
        <v>228</v>
      </c>
      <c r="H89" s="3" t="s">
        <v>42</v>
      </c>
      <c r="I89" s="3"/>
      <c r="J89" s="3" t="s">
        <v>271</v>
      </c>
      <c r="K89" s="3"/>
      <c r="L89" s="3">
        <v>4160</v>
      </c>
      <c r="M89" s="3">
        <v>90</v>
      </c>
      <c r="N89" s="3" t="s">
        <v>45</v>
      </c>
      <c r="O89" s="3" t="s">
        <v>46</v>
      </c>
      <c r="P89" s="3" t="s">
        <v>46</v>
      </c>
      <c r="Q89" s="3">
        <v>95.4</v>
      </c>
      <c r="R89" s="3">
        <v>4732</v>
      </c>
      <c r="S89" s="3">
        <v>315</v>
      </c>
      <c r="T89" s="3">
        <v>4725</v>
      </c>
      <c r="U89" s="3"/>
      <c r="V89" s="3"/>
      <c r="W89" s="3">
        <v>11</v>
      </c>
      <c r="X89" s="3" t="s">
        <v>106</v>
      </c>
      <c r="Y89" s="3"/>
      <c r="Z89" s="3" t="s">
        <v>291</v>
      </c>
      <c r="AA89" s="3"/>
      <c r="AB89" s="8" t="s">
        <v>231</v>
      </c>
    </row>
    <row r="90" spans="1:28">
      <c r="A90" s="3" t="s">
        <v>226</v>
      </c>
      <c r="B90" s="3" t="s">
        <v>227</v>
      </c>
      <c r="C90" s="3">
        <f t="shared" si="0"/>
        <v>-2810</v>
      </c>
      <c r="D90" s="3" t="s">
        <v>227</v>
      </c>
      <c r="E90" s="3">
        <v>59.25</v>
      </c>
      <c r="F90" s="3">
        <v>-2.5833330000000001</v>
      </c>
      <c r="G90" s="3" t="s">
        <v>228</v>
      </c>
      <c r="H90" s="3" t="s">
        <v>42</v>
      </c>
      <c r="I90" s="3"/>
      <c r="J90" s="3" t="s">
        <v>271</v>
      </c>
      <c r="K90" s="3"/>
      <c r="L90" s="3">
        <v>4230</v>
      </c>
      <c r="M90" s="3">
        <v>90</v>
      </c>
      <c r="N90" s="3" t="s">
        <v>45</v>
      </c>
      <c r="O90" s="3" t="s">
        <v>46</v>
      </c>
      <c r="P90" s="3" t="s">
        <v>46</v>
      </c>
      <c r="Q90" s="3">
        <v>95.4</v>
      </c>
      <c r="R90" s="3">
        <v>4760</v>
      </c>
      <c r="S90" s="3">
        <v>155</v>
      </c>
      <c r="T90" s="3">
        <v>4748</v>
      </c>
      <c r="U90" s="3"/>
      <c r="V90" s="3"/>
      <c r="W90" s="3">
        <v>11</v>
      </c>
      <c r="X90" s="3" t="s">
        <v>106</v>
      </c>
      <c r="Y90" s="3"/>
      <c r="Z90" s="3" t="s">
        <v>292</v>
      </c>
      <c r="AA90" s="3"/>
      <c r="AB90" s="8" t="s">
        <v>231</v>
      </c>
    </row>
    <row r="91" spans="1:28">
      <c r="A91" s="3" t="s">
        <v>77</v>
      </c>
      <c r="B91" s="3" t="s">
        <v>284</v>
      </c>
      <c r="C91" s="3">
        <f t="shared" si="0"/>
        <v>-2857</v>
      </c>
      <c r="D91" s="3" t="s">
        <v>284</v>
      </c>
      <c r="E91" s="3">
        <v>60.725555999999997</v>
      </c>
      <c r="F91" s="3">
        <v>4.9761110000000004</v>
      </c>
      <c r="G91" s="3" t="s">
        <v>41</v>
      </c>
      <c r="H91" s="3" t="s">
        <v>42</v>
      </c>
      <c r="I91" s="3"/>
      <c r="J91" s="3" t="s">
        <v>285</v>
      </c>
      <c r="K91" s="3"/>
      <c r="L91" s="3">
        <v>4410</v>
      </c>
      <c r="M91" s="3">
        <v>50</v>
      </c>
      <c r="N91" s="3" t="s">
        <v>45</v>
      </c>
      <c r="O91" s="3" t="s">
        <v>46</v>
      </c>
      <c r="P91" s="3" t="s">
        <v>46</v>
      </c>
      <c r="Q91" s="3">
        <v>95.4</v>
      </c>
      <c r="R91" s="3">
        <v>4807</v>
      </c>
      <c r="S91" s="3">
        <v>125</v>
      </c>
      <c r="T91" s="3">
        <v>4826</v>
      </c>
      <c r="U91" s="3"/>
      <c r="V91" s="3"/>
      <c r="W91" s="3">
        <v>8</v>
      </c>
      <c r="X91" s="3" t="s">
        <v>286</v>
      </c>
      <c r="Y91" s="10"/>
      <c r="Z91" s="10" t="s">
        <v>293</v>
      </c>
      <c r="AA91" s="3" t="s">
        <v>168</v>
      </c>
      <c r="AB91" s="8" t="s">
        <v>288</v>
      </c>
    </row>
    <row r="92" spans="1:28">
      <c r="A92" s="3" t="s">
        <v>77</v>
      </c>
      <c r="B92" s="3" t="s">
        <v>284</v>
      </c>
      <c r="C92" s="3">
        <f t="shared" si="0"/>
        <v>-2872</v>
      </c>
      <c r="D92" s="3" t="s">
        <v>284</v>
      </c>
      <c r="E92" s="3">
        <v>60.725555999999997</v>
      </c>
      <c r="F92" s="3">
        <v>4.9761110000000004</v>
      </c>
      <c r="G92" s="3" t="s">
        <v>41</v>
      </c>
      <c r="H92" s="3" t="s">
        <v>42</v>
      </c>
      <c r="I92" s="3"/>
      <c r="J92" s="3" t="s">
        <v>285</v>
      </c>
      <c r="K92" s="3"/>
      <c r="L92" s="3">
        <v>4410</v>
      </c>
      <c r="M92" s="3">
        <v>90</v>
      </c>
      <c r="N92" s="3" t="s">
        <v>45</v>
      </c>
      <c r="O92" s="3" t="s">
        <v>46</v>
      </c>
      <c r="P92" s="3" t="s">
        <v>46</v>
      </c>
      <c r="Q92" s="3">
        <v>95.4</v>
      </c>
      <c r="R92" s="3">
        <v>4822</v>
      </c>
      <c r="S92" s="3">
        <v>174</v>
      </c>
      <c r="T92" s="3">
        <v>4824</v>
      </c>
      <c r="U92" s="3"/>
      <c r="V92" s="3"/>
      <c r="W92" s="3">
        <v>8</v>
      </c>
      <c r="X92" s="3" t="s">
        <v>286</v>
      </c>
      <c r="Y92" s="10"/>
      <c r="Z92" s="10" t="s">
        <v>294</v>
      </c>
      <c r="AA92" s="3" t="s">
        <v>168</v>
      </c>
      <c r="AB92" s="8" t="s">
        <v>288</v>
      </c>
    </row>
    <row r="93" spans="1:28">
      <c r="A93" s="3" t="s">
        <v>77</v>
      </c>
      <c r="B93" s="3" t="s">
        <v>284</v>
      </c>
      <c r="C93" s="3">
        <f t="shared" si="0"/>
        <v>-2901</v>
      </c>
      <c r="D93" s="3" t="s">
        <v>284</v>
      </c>
      <c r="E93" s="3">
        <v>60.725555999999997</v>
      </c>
      <c r="F93" s="3">
        <v>4.9761110000000004</v>
      </c>
      <c r="G93" s="3" t="s">
        <v>41</v>
      </c>
      <c r="H93" s="3" t="s">
        <v>42</v>
      </c>
      <c r="I93" s="3"/>
      <c r="J93" s="3" t="s">
        <v>285</v>
      </c>
      <c r="K93" s="3"/>
      <c r="L93" s="3">
        <v>4430</v>
      </c>
      <c r="M93" s="3">
        <v>50</v>
      </c>
      <c r="N93" s="3" t="s">
        <v>45</v>
      </c>
      <c r="O93" s="3" t="s">
        <v>46</v>
      </c>
      <c r="P93" s="3" t="s">
        <v>46</v>
      </c>
      <c r="Q93" s="3">
        <v>95.4</v>
      </c>
      <c r="R93" s="3">
        <v>4851</v>
      </c>
      <c r="S93" s="3">
        <v>129</v>
      </c>
      <c r="T93" s="3">
        <v>4856</v>
      </c>
      <c r="U93" s="3"/>
      <c r="V93" s="3"/>
      <c r="W93" s="3">
        <v>8</v>
      </c>
      <c r="X93" s="3" t="s">
        <v>286</v>
      </c>
      <c r="Y93" s="10"/>
      <c r="Z93" s="10" t="s">
        <v>295</v>
      </c>
      <c r="AA93" s="3" t="s">
        <v>168</v>
      </c>
      <c r="AB93" s="8" t="s">
        <v>288</v>
      </c>
    </row>
    <row r="94" spans="1:28">
      <c r="A94" s="3" t="s">
        <v>77</v>
      </c>
      <c r="B94" s="3" t="s">
        <v>284</v>
      </c>
      <c r="C94" s="3">
        <f t="shared" si="0"/>
        <v>-2945</v>
      </c>
      <c r="D94" s="3" t="s">
        <v>284</v>
      </c>
      <c r="E94" s="3">
        <v>60.725555999999997</v>
      </c>
      <c r="F94" s="3">
        <v>4.9761110000000004</v>
      </c>
      <c r="G94" s="3" t="s">
        <v>41</v>
      </c>
      <c r="H94" s="3" t="s">
        <v>42</v>
      </c>
      <c r="I94" s="10"/>
      <c r="J94" s="10" t="s">
        <v>285</v>
      </c>
      <c r="K94" s="10"/>
      <c r="L94" s="3">
        <v>4450</v>
      </c>
      <c r="M94" s="3">
        <v>50</v>
      </c>
      <c r="N94" s="3" t="s">
        <v>45</v>
      </c>
      <c r="O94" s="3" t="s">
        <v>46</v>
      </c>
      <c r="P94" s="3" t="s">
        <v>46</v>
      </c>
      <c r="Q94" s="3">
        <v>95.4</v>
      </c>
      <c r="R94" s="3">
        <v>4895</v>
      </c>
      <c r="S94" s="3">
        <v>128</v>
      </c>
      <c r="T94" s="3">
        <v>4890</v>
      </c>
      <c r="U94" s="3"/>
      <c r="V94" s="3"/>
      <c r="W94" s="3">
        <v>8</v>
      </c>
      <c r="X94" s="3" t="s">
        <v>286</v>
      </c>
      <c r="Y94" s="10"/>
      <c r="Z94" s="10" t="s">
        <v>296</v>
      </c>
      <c r="AA94" s="3" t="s">
        <v>168</v>
      </c>
      <c r="AB94" s="8" t="s">
        <v>288</v>
      </c>
    </row>
    <row r="95" spans="1:28">
      <c r="A95" s="3" t="s">
        <v>77</v>
      </c>
      <c r="B95" s="3" t="s">
        <v>284</v>
      </c>
      <c r="C95" s="3">
        <f t="shared" si="0"/>
        <v>-3023</v>
      </c>
      <c r="D95" s="3" t="s">
        <v>284</v>
      </c>
      <c r="E95" s="3">
        <v>60.725555999999997</v>
      </c>
      <c r="F95" s="3">
        <v>4.9761110000000004</v>
      </c>
      <c r="G95" s="3" t="s">
        <v>41</v>
      </c>
      <c r="H95" s="3" t="s">
        <v>42</v>
      </c>
      <c r="I95" s="10"/>
      <c r="J95" s="10" t="s">
        <v>285</v>
      </c>
      <c r="K95" s="10"/>
      <c r="L95" s="3">
        <v>4490</v>
      </c>
      <c r="M95" s="3">
        <v>70</v>
      </c>
      <c r="N95" s="3" t="s">
        <v>45</v>
      </c>
      <c r="O95" s="3" t="s">
        <v>46</v>
      </c>
      <c r="P95" s="3" t="s">
        <v>46</v>
      </c>
      <c r="Q95" s="3">
        <v>95.4</v>
      </c>
      <c r="R95" s="3">
        <v>4973</v>
      </c>
      <c r="S95" s="3">
        <v>149</v>
      </c>
      <c r="T95" s="3">
        <v>4951</v>
      </c>
      <c r="U95" s="3"/>
      <c r="V95" s="3"/>
      <c r="W95" s="3">
        <v>8</v>
      </c>
      <c r="X95" s="3" t="s">
        <v>286</v>
      </c>
      <c r="Y95" s="10"/>
      <c r="Z95" s="10" t="s">
        <v>297</v>
      </c>
      <c r="AA95" s="3" t="s">
        <v>168</v>
      </c>
      <c r="AB95" s="8" t="s">
        <v>288</v>
      </c>
    </row>
    <row r="96" spans="1:28">
      <c r="A96" s="3" t="s">
        <v>39</v>
      </c>
      <c r="B96" s="3" t="s">
        <v>29</v>
      </c>
      <c r="C96" s="3">
        <f t="shared" si="0"/>
        <v>-3054</v>
      </c>
      <c r="D96" s="3" t="s">
        <v>84</v>
      </c>
      <c r="E96" s="3">
        <v>44.136096999999999</v>
      </c>
      <c r="F96" s="3">
        <v>-68.849982999999995</v>
      </c>
      <c r="G96" s="3" t="s">
        <v>41</v>
      </c>
      <c r="H96" s="3" t="s">
        <v>42</v>
      </c>
      <c r="I96" s="3"/>
      <c r="J96" s="3">
        <v>2</v>
      </c>
      <c r="K96" s="3"/>
      <c r="L96" s="3">
        <v>4390</v>
      </c>
      <c r="M96" s="3">
        <v>55</v>
      </c>
      <c r="N96" s="3" t="s">
        <v>45</v>
      </c>
      <c r="O96" s="3" t="s">
        <v>46</v>
      </c>
      <c r="P96" s="3" t="s">
        <v>46</v>
      </c>
      <c r="Q96" s="3">
        <v>95.4</v>
      </c>
      <c r="R96" s="3">
        <v>5004</v>
      </c>
      <c r="S96" s="3">
        <v>115</v>
      </c>
      <c r="T96" s="3">
        <v>4974</v>
      </c>
      <c r="U96" s="3"/>
      <c r="V96" s="3"/>
      <c r="W96" s="3">
        <v>9</v>
      </c>
      <c r="X96" s="3"/>
      <c r="Y96" s="3"/>
      <c r="Z96" s="3" t="s">
        <v>298</v>
      </c>
      <c r="AA96" s="3"/>
      <c r="AB96" s="8" t="s">
        <v>299</v>
      </c>
    </row>
    <row r="97" spans="1:28">
      <c r="A97" s="3" t="s">
        <v>39</v>
      </c>
      <c r="B97" s="3" t="s">
        <v>29</v>
      </c>
      <c r="C97" s="3">
        <f t="shared" si="0"/>
        <v>-3104</v>
      </c>
      <c r="D97" s="3" t="s">
        <v>84</v>
      </c>
      <c r="E97" s="3">
        <v>44.136096999999999</v>
      </c>
      <c r="F97" s="3">
        <v>-68.849982999999995</v>
      </c>
      <c r="G97" s="3" t="s">
        <v>41</v>
      </c>
      <c r="H97" s="3" t="s">
        <v>42</v>
      </c>
      <c r="I97" s="3"/>
      <c r="J97" s="3">
        <v>2</v>
      </c>
      <c r="K97" s="3"/>
      <c r="L97" s="3">
        <v>4410</v>
      </c>
      <c r="M97" s="3">
        <v>80</v>
      </c>
      <c r="N97" s="3" t="s">
        <v>45</v>
      </c>
      <c r="O97" s="3" t="s">
        <v>46</v>
      </c>
      <c r="P97" s="3" t="s">
        <v>46</v>
      </c>
      <c r="Q97" s="3">
        <v>95.4</v>
      </c>
      <c r="R97" s="3">
        <v>5054</v>
      </c>
      <c r="S97" s="3">
        <v>133</v>
      </c>
      <c r="T97" s="3">
        <v>5031</v>
      </c>
      <c r="U97" s="3"/>
      <c r="V97" s="3"/>
      <c r="W97" s="3">
        <v>9</v>
      </c>
      <c r="X97" s="3"/>
      <c r="Y97" s="3"/>
      <c r="Z97" s="3" t="s">
        <v>300</v>
      </c>
      <c r="AA97" s="3"/>
      <c r="AB97" s="8" t="s">
        <v>299</v>
      </c>
    </row>
    <row r="98" spans="1:28">
      <c r="A98" s="3" t="s">
        <v>77</v>
      </c>
      <c r="B98" s="3" t="s">
        <v>284</v>
      </c>
      <c r="C98" s="3">
        <f t="shared" si="0"/>
        <v>-3113</v>
      </c>
      <c r="D98" s="3" t="s">
        <v>284</v>
      </c>
      <c r="E98" s="3">
        <v>60.725555999999997</v>
      </c>
      <c r="F98" s="3">
        <v>4.9761110000000004</v>
      </c>
      <c r="G98" s="3" t="s">
        <v>41</v>
      </c>
      <c r="H98" s="3" t="s">
        <v>42</v>
      </c>
      <c r="I98" s="3"/>
      <c r="J98" s="3" t="s">
        <v>301</v>
      </c>
      <c r="K98" s="3"/>
      <c r="L98" s="3">
        <v>4560</v>
      </c>
      <c r="M98" s="3">
        <v>110</v>
      </c>
      <c r="N98" s="3" t="s">
        <v>45</v>
      </c>
      <c r="O98" s="3" t="s">
        <v>46</v>
      </c>
      <c r="P98" s="3" t="s">
        <v>46</v>
      </c>
      <c r="Q98" s="3">
        <v>95.4</v>
      </c>
      <c r="R98" s="3">
        <v>5063</v>
      </c>
      <c r="S98" s="3">
        <v>172</v>
      </c>
      <c r="T98" s="3">
        <v>5054</v>
      </c>
      <c r="U98" s="3"/>
      <c r="V98" s="3"/>
      <c r="W98" s="3">
        <v>8</v>
      </c>
      <c r="X98" s="3" t="s">
        <v>286</v>
      </c>
      <c r="Y98" s="3"/>
      <c r="Z98" s="3" t="s">
        <v>302</v>
      </c>
      <c r="AA98" s="3" t="s">
        <v>168</v>
      </c>
      <c r="AB98" s="8" t="s">
        <v>288</v>
      </c>
    </row>
    <row r="99" spans="1:28">
      <c r="A99" s="3" t="s">
        <v>226</v>
      </c>
      <c r="B99" s="3" t="s">
        <v>227</v>
      </c>
      <c r="C99" s="3">
        <f t="shared" si="0"/>
        <v>-3126</v>
      </c>
      <c r="D99" s="3" t="s">
        <v>227</v>
      </c>
      <c r="E99" s="3">
        <v>59.25</v>
      </c>
      <c r="F99" s="3">
        <v>-2.5833330000000001</v>
      </c>
      <c r="G99" s="3" t="s">
        <v>228</v>
      </c>
      <c r="H99" s="3" t="s">
        <v>42</v>
      </c>
      <c r="I99" s="3"/>
      <c r="J99" s="3" t="s">
        <v>303</v>
      </c>
      <c r="K99" s="3"/>
      <c r="L99" s="3">
        <v>4430</v>
      </c>
      <c r="M99" s="3">
        <v>70</v>
      </c>
      <c r="N99" s="3" t="s">
        <v>45</v>
      </c>
      <c r="O99" s="3" t="s">
        <v>46</v>
      </c>
      <c r="P99" s="3" t="s">
        <v>46</v>
      </c>
      <c r="Q99" s="3">
        <v>95.4</v>
      </c>
      <c r="R99" s="3">
        <v>5076</v>
      </c>
      <c r="S99" s="3">
        <v>134</v>
      </c>
      <c r="T99" s="3">
        <v>5064</v>
      </c>
      <c r="U99" s="3"/>
      <c r="V99" s="3"/>
      <c r="W99" s="3">
        <v>11</v>
      </c>
      <c r="X99" s="3" t="s">
        <v>106</v>
      </c>
      <c r="Y99" s="3"/>
      <c r="Z99" s="3" t="s">
        <v>304</v>
      </c>
      <c r="AA99" s="3"/>
      <c r="AB99" s="8" t="s">
        <v>231</v>
      </c>
    </row>
    <row r="100" spans="1:28">
      <c r="A100" s="3" t="s">
        <v>77</v>
      </c>
      <c r="B100" s="3" t="s">
        <v>284</v>
      </c>
      <c r="C100" s="3">
        <f t="shared" si="0"/>
        <v>-3133</v>
      </c>
      <c r="D100" s="3" t="s">
        <v>284</v>
      </c>
      <c r="E100" s="3">
        <v>60.725555999999997</v>
      </c>
      <c r="F100" s="3">
        <v>4.9761110000000004</v>
      </c>
      <c r="G100" s="3" t="s">
        <v>41</v>
      </c>
      <c r="H100" s="3" t="s">
        <v>42</v>
      </c>
      <c r="I100" s="10"/>
      <c r="J100" s="10" t="s">
        <v>285</v>
      </c>
      <c r="K100" s="10"/>
      <c r="L100" s="3">
        <v>4580</v>
      </c>
      <c r="M100" s="3">
        <v>80</v>
      </c>
      <c r="N100" s="3" t="s">
        <v>45</v>
      </c>
      <c r="O100" s="3" t="s">
        <v>46</v>
      </c>
      <c r="P100" s="3" t="s">
        <v>46</v>
      </c>
      <c r="Q100" s="3">
        <v>95.4</v>
      </c>
      <c r="R100" s="3">
        <v>5083</v>
      </c>
      <c r="S100" s="3">
        <v>142</v>
      </c>
      <c r="T100" s="3">
        <v>5076</v>
      </c>
      <c r="U100" s="3"/>
      <c r="V100" s="3"/>
      <c r="W100" s="3">
        <v>8</v>
      </c>
      <c r="X100" s="3" t="s">
        <v>286</v>
      </c>
      <c r="Y100" s="10"/>
      <c r="Z100" s="10" t="s">
        <v>305</v>
      </c>
      <c r="AA100" s="3" t="s">
        <v>168</v>
      </c>
      <c r="AB100" s="8" t="s">
        <v>288</v>
      </c>
    </row>
    <row r="101" spans="1:28">
      <c r="A101" s="3" t="s">
        <v>77</v>
      </c>
      <c r="B101" s="3" t="s">
        <v>284</v>
      </c>
      <c r="C101" s="3">
        <f t="shared" si="0"/>
        <v>-3158</v>
      </c>
      <c r="D101" s="3" t="s">
        <v>284</v>
      </c>
      <c r="E101" s="3">
        <v>60.725555999999997</v>
      </c>
      <c r="F101" s="3">
        <v>4.9761110000000004</v>
      </c>
      <c r="G101" s="3" t="s">
        <v>41</v>
      </c>
      <c r="H101" s="3" t="s">
        <v>42</v>
      </c>
      <c r="I101" s="3"/>
      <c r="J101" s="3" t="s">
        <v>301</v>
      </c>
      <c r="K101" s="3"/>
      <c r="L101" s="3">
        <v>4610</v>
      </c>
      <c r="M101" s="3">
        <v>80</v>
      </c>
      <c r="N101" s="3" t="s">
        <v>45</v>
      </c>
      <c r="O101" s="3" t="s">
        <v>46</v>
      </c>
      <c r="P101" s="3" t="s">
        <v>46</v>
      </c>
      <c r="Q101" s="3">
        <v>95.4</v>
      </c>
      <c r="R101" s="3">
        <v>5108</v>
      </c>
      <c r="S101" s="3">
        <v>142</v>
      </c>
      <c r="T101" s="3">
        <v>5109</v>
      </c>
      <c r="U101" s="3"/>
      <c r="V101" s="3"/>
      <c r="W101" s="3">
        <v>8</v>
      </c>
      <c r="X101" s="3" t="s">
        <v>286</v>
      </c>
      <c r="Y101" s="3"/>
      <c r="Z101" s="3" t="s">
        <v>306</v>
      </c>
      <c r="AA101" s="3" t="s">
        <v>168</v>
      </c>
      <c r="AB101" s="8" t="s">
        <v>288</v>
      </c>
    </row>
    <row r="102" spans="1:28">
      <c r="A102" s="3" t="s">
        <v>226</v>
      </c>
      <c r="B102" s="3" t="s">
        <v>227</v>
      </c>
      <c r="C102" s="3">
        <f t="shared" si="0"/>
        <v>-3172</v>
      </c>
      <c r="D102" s="3" t="s">
        <v>227</v>
      </c>
      <c r="E102" s="3">
        <v>59.25</v>
      </c>
      <c r="F102" s="3">
        <v>-2.5833330000000001</v>
      </c>
      <c r="G102" s="3" t="s">
        <v>228</v>
      </c>
      <c r="H102" s="3" t="s">
        <v>42</v>
      </c>
      <c r="I102" s="3"/>
      <c r="J102" s="3" t="s">
        <v>303</v>
      </c>
      <c r="K102" s="3"/>
      <c r="L102" s="3">
        <v>4480</v>
      </c>
      <c r="M102" s="3">
        <v>70</v>
      </c>
      <c r="N102" s="3" t="s">
        <v>45</v>
      </c>
      <c r="O102" s="3" t="s">
        <v>46</v>
      </c>
      <c r="P102" s="3" t="s">
        <v>46</v>
      </c>
      <c r="Q102" s="3">
        <v>95.4</v>
      </c>
      <c r="R102" s="3">
        <v>5122</v>
      </c>
      <c r="S102" s="3">
        <v>131</v>
      </c>
      <c r="T102" s="3">
        <v>5125</v>
      </c>
      <c r="U102" s="3"/>
      <c r="V102" s="3"/>
      <c r="W102" s="3">
        <v>11</v>
      </c>
      <c r="X102" s="3" t="s">
        <v>106</v>
      </c>
      <c r="Y102" s="3"/>
      <c r="Z102" s="3" t="s">
        <v>307</v>
      </c>
      <c r="AA102" s="3"/>
      <c r="AB102" s="8" t="s">
        <v>231</v>
      </c>
    </row>
    <row r="103" spans="1:28">
      <c r="A103" s="3" t="s">
        <v>77</v>
      </c>
      <c r="B103" s="3" t="s">
        <v>284</v>
      </c>
      <c r="C103" s="3">
        <f t="shared" si="0"/>
        <v>-3187</v>
      </c>
      <c r="D103" s="3" t="s">
        <v>284</v>
      </c>
      <c r="E103" s="3">
        <v>60.725555999999997</v>
      </c>
      <c r="F103" s="3">
        <v>4.9761110000000004</v>
      </c>
      <c r="G103" s="3" t="s">
        <v>41</v>
      </c>
      <c r="H103" s="3" t="s">
        <v>42</v>
      </c>
      <c r="I103" s="3"/>
      <c r="J103" s="3" t="s">
        <v>301</v>
      </c>
      <c r="K103" s="3"/>
      <c r="L103" s="3">
        <v>4640</v>
      </c>
      <c r="M103" s="3">
        <v>60</v>
      </c>
      <c r="N103" s="3" t="s">
        <v>45</v>
      </c>
      <c r="O103" s="3" t="s">
        <v>46</v>
      </c>
      <c r="P103" s="3" t="s">
        <v>46</v>
      </c>
      <c r="Q103" s="3">
        <v>95.4</v>
      </c>
      <c r="R103" s="3">
        <v>5137</v>
      </c>
      <c r="S103" s="3">
        <v>129</v>
      </c>
      <c r="T103" s="3">
        <v>5139</v>
      </c>
      <c r="U103" s="3"/>
      <c r="V103" s="3"/>
      <c r="W103" s="3">
        <v>8</v>
      </c>
      <c r="X103" s="3" t="s">
        <v>286</v>
      </c>
      <c r="Y103" s="3"/>
      <c r="Z103" s="3" t="s">
        <v>308</v>
      </c>
      <c r="AA103" s="3" t="s">
        <v>168</v>
      </c>
      <c r="AB103" s="8" t="s">
        <v>288</v>
      </c>
    </row>
    <row r="104" spans="1:28">
      <c r="A104" s="3" t="s">
        <v>77</v>
      </c>
      <c r="B104" s="3" t="s">
        <v>284</v>
      </c>
      <c r="C104" s="3">
        <f t="shared" si="0"/>
        <v>-3199</v>
      </c>
      <c r="D104" s="3" t="s">
        <v>284</v>
      </c>
      <c r="E104" s="3">
        <v>60.725555999999997</v>
      </c>
      <c r="F104" s="3">
        <v>4.9761110000000004</v>
      </c>
      <c r="G104" s="3" t="s">
        <v>41</v>
      </c>
      <c r="H104" s="3" t="s">
        <v>42</v>
      </c>
      <c r="I104" s="3"/>
      <c r="J104" s="3" t="s">
        <v>301</v>
      </c>
      <c r="K104" s="3"/>
      <c r="L104" s="3">
        <v>4650</v>
      </c>
      <c r="M104" s="3">
        <v>90</v>
      </c>
      <c r="N104" s="3" t="s">
        <v>45</v>
      </c>
      <c r="O104" s="3" t="s">
        <v>46</v>
      </c>
      <c r="P104" s="3" t="s">
        <v>46</v>
      </c>
      <c r="Q104" s="3">
        <v>95.4</v>
      </c>
      <c r="R104" s="3">
        <v>5149</v>
      </c>
      <c r="S104" s="3">
        <v>153</v>
      </c>
      <c r="T104" s="3">
        <v>5147</v>
      </c>
      <c r="U104" s="3"/>
      <c r="V104" s="3"/>
      <c r="W104" s="3">
        <v>8</v>
      </c>
      <c r="X104" s="3" t="s">
        <v>286</v>
      </c>
      <c r="Y104" s="3"/>
      <c r="Z104" s="3" t="s">
        <v>309</v>
      </c>
      <c r="AA104" s="3" t="s">
        <v>168</v>
      </c>
      <c r="AB104" s="8" t="s">
        <v>288</v>
      </c>
    </row>
    <row r="105" spans="1:28">
      <c r="A105" s="3" t="s">
        <v>77</v>
      </c>
      <c r="B105" s="3" t="s">
        <v>284</v>
      </c>
      <c r="C105" s="3">
        <f t="shared" si="0"/>
        <v>-3215</v>
      </c>
      <c r="D105" s="3" t="s">
        <v>284</v>
      </c>
      <c r="E105" s="3">
        <v>60.725555999999997</v>
      </c>
      <c r="F105" s="3">
        <v>4.9761110000000004</v>
      </c>
      <c r="G105" s="3" t="s">
        <v>41</v>
      </c>
      <c r="H105" s="3" t="s">
        <v>42</v>
      </c>
      <c r="I105" s="3"/>
      <c r="J105" s="3" t="s">
        <v>301</v>
      </c>
      <c r="K105" s="3"/>
      <c r="L105" s="3">
        <v>4660</v>
      </c>
      <c r="M105" s="3">
        <v>120</v>
      </c>
      <c r="N105" s="3" t="s">
        <v>45</v>
      </c>
      <c r="O105" s="3" t="s">
        <v>46</v>
      </c>
      <c r="P105" s="3" t="s">
        <v>46</v>
      </c>
      <c r="Q105" s="3">
        <v>95.4</v>
      </c>
      <c r="R105" s="3">
        <v>5165</v>
      </c>
      <c r="S105" s="3">
        <v>179</v>
      </c>
      <c r="T105" s="3">
        <v>5161</v>
      </c>
      <c r="U105" s="3"/>
      <c r="V105" s="3"/>
      <c r="W105" s="3">
        <v>8</v>
      </c>
      <c r="X105" s="3" t="s">
        <v>286</v>
      </c>
      <c r="Y105" s="3"/>
      <c r="Z105" s="3" t="s">
        <v>310</v>
      </c>
      <c r="AA105" s="3" t="s">
        <v>168</v>
      </c>
      <c r="AB105" s="8" t="s">
        <v>288</v>
      </c>
    </row>
    <row r="106" spans="1:28">
      <c r="A106" s="3" t="s">
        <v>77</v>
      </c>
      <c r="B106" s="3" t="s">
        <v>284</v>
      </c>
      <c r="C106" s="3">
        <f t="shared" si="0"/>
        <v>-3221</v>
      </c>
      <c r="D106" s="3" t="s">
        <v>284</v>
      </c>
      <c r="E106" s="3">
        <v>60.725555999999997</v>
      </c>
      <c r="F106" s="3">
        <v>4.9761110000000004</v>
      </c>
      <c r="G106" s="3" t="s">
        <v>41</v>
      </c>
      <c r="H106" s="3" t="s">
        <v>42</v>
      </c>
      <c r="I106" s="3"/>
      <c r="J106" s="3" t="s">
        <v>301</v>
      </c>
      <c r="K106" s="3"/>
      <c r="L106" s="3">
        <v>4670</v>
      </c>
      <c r="M106" s="3">
        <v>90</v>
      </c>
      <c r="N106" s="3" t="s">
        <v>45</v>
      </c>
      <c r="O106" s="3" t="s">
        <v>46</v>
      </c>
      <c r="P106" s="3" t="s">
        <v>46</v>
      </c>
      <c r="Q106" s="3">
        <v>95.4</v>
      </c>
      <c r="R106" s="3">
        <v>5171</v>
      </c>
      <c r="S106" s="3">
        <v>156</v>
      </c>
      <c r="T106" s="3">
        <v>5165</v>
      </c>
      <c r="U106" s="3"/>
      <c r="V106" s="3"/>
      <c r="W106" s="3">
        <v>8</v>
      </c>
      <c r="X106" s="3" t="s">
        <v>286</v>
      </c>
      <c r="Y106" s="3"/>
      <c r="Z106" s="3" t="s">
        <v>311</v>
      </c>
      <c r="AA106" s="3" t="s">
        <v>168</v>
      </c>
      <c r="AB106" s="8" t="s">
        <v>288</v>
      </c>
    </row>
    <row r="107" spans="1:28">
      <c r="A107" s="3" t="s">
        <v>77</v>
      </c>
      <c r="B107" s="3" t="s">
        <v>284</v>
      </c>
      <c r="C107" s="3">
        <f t="shared" si="0"/>
        <v>-3241</v>
      </c>
      <c r="D107" s="3" t="s">
        <v>284</v>
      </c>
      <c r="E107" s="3">
        <v>60.725555999999997</v>
      </c>
      <c r="F107" s="3">
        <v>4.9761110000000004</v>
      </c>
      <c r="G107" s="3" t="s">
        <v>41</v>
      </c>
      <c r="H107" s="3" t="s">
        <v>42</v>
      </c>
      <c r="I107" s="3"/>
      <c r="J107" s="3" t="s">
        <v>301</v>
      </c>
      <c r="K107" s="3"/>
      <c r="L107" s="3">
        <v>4690</v>
      </c>
      <c r="M107" s="3">
        <v>70</v>
      </c>
      <c r="N107" s="3" t="s">
        <v>45</v>
      </c>
      <c r="O107" s="3" t="s">
        <v>46</v>
      </c>
      <c r="P107" s="3" t="s">
        <v>46</v>
      </c>
      <c r="Q107" s="3">
        <v>95.4</v>
      </c>
      <c r="R107" s="3">
        <v>5191</v>
      </c>
      <c r="S107" s="3">
        <v>144</v>
      </c>
      <c r="T107" s="3">
        <v>5182</v>
      </c>
      <c r="U107" s="3"/>
      <c r="V107" s="3"/>
      <c r="W107" s="3">
        <v>8</v>
      </c>
      <c r="X107" s="3" t="s">
        <v>286</v>
      </c>
      <c r="Y107" s="3"/>
      <c r="Z107" s="3" t="s">
        <v>312</v>
      </c>
      <c r="AA107" s="3" t="s">
        <v>168</v>
      </c>
      <c r="AB107" s="8" t="s">
        <v>288</v>
      </c>
    </row>
    <row r="108" spans="1:28">
      <c r="A108" s="3" t="s">
        <v>77</v>
      </c>
      <c r="B108" s="3" t="s">
        <v>284</v>
      </c>
      <c r="C108" s="3">
        <f t="shared" si="0"/>
        <v>-3244</v>
      </c>
      <c r="D108" s="3" t="s">
        <v>284</v>
      </c>
      <c r="E108" s="3">
        <v>60.725555999999997</v>
      </c>
      <c r="F108" s="3">
        <v>4.9761110000000004</v>
      </c>
      <c r="G108" s="3" t="s">
        <v>41</v>
      </c>
      <c r="H108" s="3" t="s">
        <v>42</v>
      </c>
      <c r="I108" s="3"/>
      <c r="J108" s="3" t="s">
        <v>301</v>
      </c>
      <c r="K108" s="3"/>
      <c r="L108" s="3">
        <v>4690</v>
      </c>
      <c r="M108" s="3">
        <v>90</v>
      </c>
      <c r="N108" s="3" t="s">
        <v>45</v>
      </c>
      <c r="O108" s="3" t="s">
        <v>46</v>
      </c>
      <c r="P108" s="3" t="s">
        <v>46</v>
      </c>
      <c r="Q108" s="3">
        <v>95.4</v>
      </c>
      <c r="R108" s="3">
        <v>5194</v>
      </c>
      <c r="S108" s="3">
        <v>159</v>
      </c>
      <c r="T108" s="3">
        <v>5186</v>
      </c>
      <c r="U108" s="3"/>
      <c r="V108" s="3"/>
      <c r="W108" s="3">
        <v>8</v>
      </c>
      <c r="X108" s="3" t="s">
        <v>286</v>
      </c>
      <c r="Y108" s="3"/>
      <c r="Z108" s="3" t="s">
        <v>313</v>
      </c>
      <c r="AA108" s="3" t="s">
        <v>168</v>
      </c>
      <c r="AB108" s="8" t="s">
        <v>288</v>
      </c>
    </row>
    <row r="109" spans="1:28">
      <c r="A109" s="3" t="s">
        <v>39</v>
      </c>
      <c r="B109" s="3" t="s">
        <v>29</v>
      </c>
      <c r="C109" s="3">
        <f t="shared" si="0"/>
        <v>-3256</v>
      </c>
      <c r="D109" s="3" t="s">
        <v>84</v>
      </c>
      <c r="E109" s="3">
        <v>44.136096999999999</v>
      </c>
      <c r="F109" s="3">
        <v>-68.849982999999995</v>
      </c>
      <c r="G109" s="3" t="s">
        <v>41</v>
      </c>
      <c r="H109" s="3" t="s">
        <v>42</v>
      </c>
      <c r="I109" s="3"/>
      <c r="J109" s="3">
        <v>2</v>
      </c>
      <c r="K109" s="3"/>
      <c r="L109" s="3">
        <v>4555</v>
      </c>
      <c r="M109" s="3">
        <v>95</v>
      </c>
      <c r="N109" s="3" t="s">
        <v>45</v>
      </c>
      <c r="O109" s="3" t="s">
        <v>46</v>
      </c>
      <c r="P109" s="3" t="s">
        <v>46</v>
      </c>
      <c r="Q109" s="3">
        <v>95.4</v>
      </c>
      <c r="R109" s="3">
        <v>5206</v>
      </c>
      <c r="S109" s="3">
        <v>153</v>
      </c>
      <c r="T109" s="3">
        <v>5198</v>
      </c>
      <c r="U109" s="3"/>
      <c r="V109" s="3"/>
      <c r="W109" s="3">
        <v>9</v>
      </c>
      <c r="X109" s="3"/>
      <c r="Y109" s="3"/>
      <c r="Z109" s="3" t="s">
        <v>314</v>
      </c>
      <c r="AA109" s="3"/>
      <c r="AB109" s="8" t="s">
        <v>299</v>
      </c>
    </row>
    <row r="110" spans="1:28">
      <c r="A110" s="3" t="s">
        <v>77</v>
      </c>
      <c r="B110" s="3" t="s">
        <v>284</v>
      </c>
      <c r="C110" s="3">
        <f t="shared" si="0"/>
        <v>-3338</v>
      </c>
      <c r="D110" s="3" t="s">
        <v>284</v>
      </c>
      <c r="E110" s="3">
        <v>60.725555999999997</v>
      </c>
      <c r="F110" s="3">
        <v>4.9761110000000004</v>
      </c>
      <c r="G110" s="3" t="s">
        <v>41</v>
      </c>
      <c r="H110" s="3" t="s">
        <v>42</v>
      </c>
      <c r="I110" s="3"/>
      <c r="J110" s="3" t="s">
        <v>301</v>
      </c>
      <c r="K110" s="3"/>
      <c r="L110" s="3">
        <v>4760</v>
      </c>
      <c r="M110" s="3">
        <v>100</v>
      </c>
      <c r="N110" s="3" t="s">
        <v>45</v>
      </c>
      <c r="O110" s="3" t="s">
        <v>46</v>
      </c>
      <c r="P110" s="3" t="s">
        <v>46</v>
      </c>
      <c r="Q110" s="3">
        <v>95.4</v>
      </c>
      <c r="R110" s="3">
        <v>5288</v>
      </c>
      <c r="S110" s="3">
        <v>171</v>
      </c>
      <c r="T110" s="3">
        <v>5311</v>
      </c>
      <c r="U110" s="3"/>
      <c r="V110" s="3"/>
      <c r="W110" s="3">
        <v>8</v>
      </c>
      <c r="X110" s="3" t="s">
        <v>286</v>
      </c>
      <c r="Y110" s="3"/>
      <c r="Z110" s="3" t="s">
        <v>315</v>
      </c>
      <c r="AA110" s="3" t="s">
        <v>168</v>
      </c>
      <c r="AB110" s="8" t="s">
        <v>288</v>
      </c>
    </row>
    <row r="111" spans="1:28">
      <c r="A111" s="3" t="s">
        <v>316</v>
      </c>
      <c r="B111" s="3" t="s">
        <v>317</v>
      </c>
      <c r="C111" s="3">
        <f t="shared" si="0"/>
        <v>-3681</v>
      </c>
      <c r="D111" s="3" t="s">
        <v>318</v>
      </c>
      <c r="E111" s="3">
        <v>55.889865999999998</v>
      </c>
      <c r="F111" s="3">
        <v>-11.145979000000001</v>
      </c>
      <c r="G111" s="3" t="s">
        <v>319</v>
      </c>
      <c r="H111" s="3" t="s">
        <v>32</v>
      </c>
      <c r="I111" s="3"/>
      <c r="J111" s="3" t="s">
        <v>320</v>
      </c>
      <c r="K111" s="3"/>
      <c r="L111" s="3">
        <v>5300</v>
      </c>
      <c r="M111" s="3">
        <v>20</v>
      </c>
      <c r="N111" s="3" t="s">
        <v>35</v>
      </c>
      <c r="O111" s="3">
        <v>-145</v>
      </c>
      <c r="P111" s="3">
        <v>54</v>
      </c>
      <c r="Q111" s="3">
        <v>95.4</v>
      </c>
      <c r="R111" s="3">
        <v>5631</v>
      </c>
      <c r="S111" s="3">
        <v>96</v>
      </c>
      <c r="T111" s="3">
        <v>5628</v>
      </c>
      <c r="U111" s="3">
        <v>5836</v>
      </c>
      <c r="V111" s="3">
        <v>5449</v>
      </c>
      <c r="W111" s="3">
        <v>9</v>
      </c>
      <c r="X111" s="3" t="s">
        <v>321</v>
      </c>
      <c r="Y111" s="10" t="s">
        <v>322</v>
      </c>
      <c r="Z111" s="10" t="s">
        <v>323</v>
      </c>
      <c r="AA111" s="3" t="s">
        <v>324</v>
      </c>
      <c r="AB111" s="8" t="s">
        <v>325</v>
      </c>
    </row>
    <row r="112" spans="1:28">
      <c r="A112" s="3" t="s">
        <v>316</v>
      </c>
      <c r="B112" s="3" t="s">
        <v>317</v>
      </c>
      <c r="C112" s="3">
        <f t="shared" si="0"/>
        <v>-3451</v>
      </c>
      <c r="D112" s="3" t="s">
        <v>318</v>
      </c>
      <c r="E112" s="3">
        <v>55.889865999999998</v>
      </c>
      <c r="F112" s="3">
        <v>-11.145979000000001</v>
      </c>
      <c r="G112" s="3" t="s">
        <v>326</v>
      </c>
      <c r="H112" s="3" t="s">
        <v>42</v>
      </c>
      <c r="I112" s="3"/>
      <c r="J112" s="3" t="s">
        <v>320</v>
      </c>
      <c r="K112" s="3"/>
      <c r="L112" s="3">
        <v>4705</v>
      </c>
      <c r="M112" s="3">
        <v>20</v>
      </c>
      <c r="N112" s="3" t="s">
        <v>45</v>
      </c>
      <c r="O112" s="3" t="s">
        <v>46</v>
      </c>
      <c r="P112" s="3" t="s">
        <v>46</v>
      </c>
      <c r="Q112" s="3">
        <v>95.4</v>
      </c>
      <c r="R112" s="3">
        <v>5401</v>
      </c>
      <c r="S112" s="3">
        <v>61</v>
      </c>
      <c r="T112" s="3">
        <v>5377</v>
      </c>
      <c r="U112" s="3"/>
      <c r="V112" s="3"/>
      <c r="W112" s="3">
        <v>9</v>
      </c>
      <c r="X112" s="3" t="s">
        <v>321</v>
      </c>
      <c r="Y112" s="3" t="s">
        <v>327</v>
      </c>
      <c r="Z112" s="3" t="s">
        <v>328</v>
      </c>
      <c r="AA112" s="3"/>
      <c r="AB112" s="8" t="s">
        <v>325</v>
      </c>
    </row>
    <row r="113" spans="1:28">
      <c r="A113" s="3" t="s">
        <v>77</v>
      </c>
      <c r="B113" s="3" t="s">
        <v>284</v>
      </c>
      <c r="C113" s="3">
        <f t="shared" si="0"/>
        <v>-3489</v>
      </c>
      <c r="D113" s="3" t="s">
        <v>284</v>
      </c>
      <c r="E113" s="3">
        <v>60.725555999999997</v>
      </c>
      <c r="F113" s="3">
        <v>4.9761110000000004</v>
      </c>
      <c r="G113" s="3" t="s">
        <v>41</v>
      </c>
      <c r="H113" s="3" t="s">
        <v>42</v>
      </c>
      <c r="I113" s="3"/>
      <c r="J113" s="3" t="s">
        <v>329</v>
      </c>
      <c r="K113" s="3"/>
      <c r="L113" s="3">
        <v>4860</v>
      </c>
      <c r="M113" s="3">
        <v>60</v>
      </c>
      <c r="N113" s="3" t="s">
        <v>45</v>
      </c>
      <c r="O113" s="3" t="s">
        <v>46</v>
      </c>
      <c r="P113" s="3" t="s">
        <v>46</v>
      </c>
      <c r="Q113" s="3">
        <v>95.4</v>
      </c>
      <c r="R113" s="3">
        <v>5439</v>
      </c>
      <c r="S113" s="3">
        <v>96</v>
      </c>
      <c r="T113" s="3">
        <v>5445</v>
      </c>
      <c r="U113" s="3"/>
      <c r="V113" s="3"/>
      <c r="W113" s="3">
        <v>8</v>
      </c>
      <c r="X113" s="3" t="s">
        <v>286</v>
      </c>
      <c r="Y113" s="3"/>
      <c r="Z113" s="3" t="s">
        <v>330</v>
      </c>
      <c r="AA113" s="3" t="s">
        <v>168</v>
      </c>
      <c r="AB113" s="8" t="s">
        <v>288</v>
      </c>
    </row>
    <row r="114" spans="1:28">
      <c r="A114" s="3" t="s">
        <v>77</v>
      </c>
      <c r="B114" s="3" t="s">
        <v>284</v>
      </c>
      <c r="C114" s="3">
        <f t="shared" si="0"/>
        <v>-3501</v>
      </c>
      <c r="D114" s="3" t="s">
        <v>284</v>
      </c>
      <c r="E114" s="3">
        <v>60.725555999999997</v>
      </c>
      <c r="F114" s="3">
        <v>4.9761110000000004</v>
      </c>
      <c r="G114" s="3" t="s">
        <v>41</v>
      </c>
      <c r="H114" s="3" t="s">
        <v>42</v>
      </c>
      <c r="I114" s="3"/>
      <c r="J114" s="3" t="s">
        <v>301</v>
      </c>
      <c r="K114" s="3"/>
      <c r="L114" s="3">
        <v>4880</v>
      </c>
      <c r="M114" s="3">
        <v>80</v>
      </c>
      <c r="N114" s="3" t="s">
        <v>45</v>
      </c>
      <c r="O114" s="3" t="s">
        <v>46</v>
      </c>
      <c r="P114" s="3" t="s">
        <v>46</v>
      </c>
      <c r="Q114" s="3">
        <v>95.4</v>
      </c>
      <c r="R114" s="3">
        <v>5451</v>
      </c>
      <c r="S114" s="3">
        <v>113</v>
      </c>
      <c r="T114" s="3">
        <v>5463</v>
      </c>
      <c r="U114" s="3"/>
      <c r="V114" s="3"/>
      <c r="W114" s="3">
        <v>8</v>
      </c>
      <c r="X114" s="3" t="s">
        <v>286</v>
      </c>
      <c r="Y114" s="3"/>
      <c r="Z114" s="3" t="s">
        <v>331</v>
      </c>
      <c r="AA114" s="3" t="s">
        <v>168</v>
      </c>
      <c r="AB114" s="8" t="s">
        <v>288</v>
      </c>
    </row>
    <row r="115" spans="1:28">
      <c r="A115" s="3" t="s">
        <v>77</v>
      </c>
      <c r="B115" s="3" t="s">
        <v>284</v>
      </c>
      <c r="C115" s="3">
        <f t="shared" si="0"/>
        <v>-3516</v>
      </c>
      <c r="D115" s="3" t="s">
        <v>284</v>
      </c>
      <c r="E115" s="3">
        <v>60.725555999999997</v>
      </c>
      <c r="F115" s="3">
        <v>4.9761110000000004</v>
      </c>
      <c r="G115" s="3" t="s">
        <v>41</v>
      </c>
      <c r="H115" s="3" t="s">
        <v>42</v>
      </c>
      <c r="I115" s="3"/>
      <c r="J115" s="3" t="s">
        <v>332</v>
      </c>
      <c r="K115" s="3"/>
      <c r="L115" s="3">
        <v>4900</v>
      </c>
      <c r="M115" s="3">
        <v>100</v>
      </c>
      <c r="N115" s="3" t="s">
        <v>45</v>
      </c>
      <c r="O115" s="3" t="s">
        <v>46</v>
      </c>
      <c r="P115" s="3" t="s">
        <v>46</v>
      </c>
      <c r="Q115" s="3">
        <v>95.4</v>
      </c>
      <c r="R115" s="3">
        <v>5466</v>
      </c>
      <c r="S115" s="3">
        <v>138</v>
      </c>
      <c r="T115" s="3">
        <v>5476</v>
      </c>
      <c r="U115" s="3"/>
      <c r="V115" s="3"/>
      <c r="W115" s="3">
        <v>8</v>
      </c>
      <c r="X115" s="3" t="s">
        <v>286</v>
      </c>
      <c r="Y115" s="3"/>
      <c r="Z115" s="3" t="s">
        <v>333</v>
      </c>
      <c r="AA115" s="3" t="s">
        <v>168</v>
      </c>
      <c r="AB115" s="8" t="s">
        <v>288</v>
      </c>
    </row>
    <row r="116" spans="1:28">
      <c r="A116" s="3" t="s">
        <v>77</v>
      </c>
      <c r="B116" s="3" t="s">
        <v>284</v>
      </c>
      <c r="C116" s="3">
        <f t="shared" si="0"/>
        <v>-3536</v>
      </c>
      <c r="D116" s="3" t="s">
        <v>284</v>
      </c>
      <c r="E116" s="3">
        <v>60.725555999999997</v>
      </c>
      <c r="F116" s="3">
        <v>4.9761110000000004</v>
      </c>
      <c r="G116" s="3" t="s">
        <v>41</v>
      </c>
      <c r="H116" s="3" t="s">
        <v>42</v>
      </c>
      <c r="I116" s="3"/>
      <c r="J116" s="3" t="s">
        <v>329</v>
      </c>
      <c r="K116" s="3"/>
      <c r="L116" s="3">
        <v>4920</v>
      </c>
      <c r="M116" s="3">
        <v>60</v>
      </c>
      <c r="N116" s="3" t="s">
        <v>45</v>
      </c>
      <c r="O116" s="3" t="s">
        <v>46</v>
      </c>
      <c r="P116" s="3" t="s">
        <v>46</v>
      </c>
      <c r="Q116" s="3">
        <v>95.4</v>
      </c>
      <c r="R116" s="3">
        <v>5486</v>
      </c>
      <c r="S116" s="3">
        <v>92</v>
      </c>
      <c r="T116" s="3">
        <v>5499</v>
      </c>
      <c r="U116" s="3"/>
      <c r="V116" s="3"/>
      <c r="W116" s="3">
        <v>8</v>
      </c>
      <c r="X116" s="3" t="s">
        <v>286</v>
      </c>
      <c r="Y116" s="3"/>
      <c r="Z116" s="3" t="s">
        <v>334</v>
      </c>
      <c r="AA116" s="3" t="s">
        <v>168</v>
      </c>
      <c r="AB116" s="8" t="s">
        <v>288</v>
      </c>
    </row>
    <row r="117" spans="1:28">
      <c r="A117" s="3" t="s">
        <v>77</v>
      </c>
      <c r="B117" s="3" t="s">
        <v>284</v>
      </c>
      <c r="C117" s="3">
        <f t="shared" si="0"/>
        <v>-3581</v>
      </c>
      <c r="D117" s="3" t="s">
        <v>284</v>
      </c>
      <c r="E117" s="3">
        <v>60.725555999999997</v>
      </c>
      <c r="F117" s="3">
        <v>4.9761110000000004</v>
      </c>
      <c r="G117" s="3" t="s">
        <v>41</v>
      </c>
      <c r="H117" s="3" t="s">
        <v>42</v>
      </c>
      <c r="I117" s="3"/>
      <c r="J117" s="3" t="s">
        <v>329</v>
      </c>
      <c r="K117" s="3"/>
      <c r="L117" s="3">
        <v>4960</v>
      </c>
      <c r="M117" s="3">
        <v>80</v>
      </c>
      <c r="N117" s="3" t="s">
        <v>45</v>
      </c>
      <c r="O117" s="3" t="s">
        <v>46</v>
      </c>
      <c r="P117" s="3" t="s">
        <v>46</v>
      </c>
      <c r="Q117" s="3">
        <v>95.4</v>
      </c>
      <c r="R117" s="3">
        <v>5531</v>
      </c>
      <c r="S117" s="3">
        <v>117</v>
      </c>
      <c r="T117" s="3">
        <v>5531</v>
      </c>
      <c r="U117" s="3"/>
      <c r="V117" s="3"/>
      <c r="W117" s="3">
        <v>8</v>
      </c>
      <c r="X117" s="3" t="s">
        <v>286</v>
      </c>
      <c r="Y117" s="3"/>
      <c r="Z117" s="3" t="s">
        <v>335</v>
      </c>
      <c r="AA117" s="3" t="s">
        <v>168</v>
      </c>
      <c r="AB117" s="8" t="s">
        <v>288</v>
      </c>
    </row>
    <row r="118" spans="1:28">
      <c r="A118" s="3" t="s">
        <v>77</v>
      </c>
      <c r="B118" s="3" t="s">
        <v>284</v>
      </c>
      <c r="C118" s="3">
        <f t="shared" si="0"/>
        <v>-3645</v>
      </c>
      <c r="D118" s="3" t="s">
        <v>284</v>
      </c>
      <c r="E118" s="3">
        <v>60.725555999999997</v>
      </c>
      <c r="F118" s="3">
        <v>4.9761110000000004</v>
      </c>
      <c r="G118" s="3" t="s">
        <v>41</v>
      </c>
      <c r="H118" s="3" t="s">
        <v>42</v>
      </c>
      <c r="I118" s="3"/>
      <c r="J118" s="3" t="s">
        <v>332</v>
      </c>
      <c r="K118" s="3"/>
      <c r="L118" s="3">
        <v>5010</v>
      </c>
      <c r="M118" s="3">
        <v>50</v>
      </c>
      <c r="N118" s="3" t="s">
        <v>45</v>
      </c>
      <c r="O118" s="3" t="s">
        <v>46</v>
      </c>
      <c r="P118" s="3" t="s">
        <v>46</v>
      </c>
      <c r="Q118" s="3">
        <v>95.4</v>
      </c>
      <c r="R118" s="3">
        <v>5595</v>
      </c>
      <c r="S118" s="3">
        <v>96</v>
      </c>
      <c r="T118" s="3">
        <v>5597</v>
      </c>
      <c r="U118" s="3"/>
      <c r="V118" s="3"/>
      <c r="W118" s="3">
        <v>8</v>
      </c>
      <c r="X118" s="3" t="s">
        <v>286</v>
      </c>
      <c r="Y118" s="3"/>
      <c r="Z118" s="3" t="s">
        <v>336</v>
      </c>
      <c r="AA118" s="3" t="s">
        <v>168</v>
      </c>
      <c r="AB118" s="8" t="s">
        <v>288</v>
      </c>
    </row>
    <row r="119" spans="1:28">
      <c r="A119" s="3" t="s">
        <v>77</v>
      </c>
      <c r="B119" s="3" t="s">
        <v>284</v>
      </c>
      <c r="C119" s="3">
        <f t="shared" si="0"/>
        <v>-3650</v>
      </c>
      <c r="D119" s="3" t="s">
        <v>284</v>
      </c>
      <c r="E119" s="3">
        <v>60.725555999999997</v>
      </c>
      <c r="F119" s="3">
        <v>4.9761110000000004</v>
      </c>
      <c r="G119" s="3" t="s">
        <v>41</v>
      </c>
      <c r="H119" s="3" t="s">
        <v>42</v>
      </c>
      <c r="I119" s="3"/>
      <c r="J119" s="3" t="s">
        <v>332</v>
      </c>
      <c r="K119" s="3"/>
      <c r="L119" s="3">
        <v>5010</v>
      </c>
      <c r="M119" s="3">
        <v>80</v>
      </c>
      <c r="N119" s="3" t="s">
        <v>45</v>
      </c>
      <c r="O119" s="3" t="s">
        <v>46</v>
      </c>
      <c r="P119" s="3" t="s">
        <v>46</v>
      </c>
      <c r="Q119" s="3">
        <v>95.4</v>
      </c>
      <c r="R119" s="3">
        <v>5600</v>
      </c>
      <c r="S119" s="3">
        <v>124</v>
      </c>
      <c r="T119" s="3">
        <v>5600</v>
      </c>
      <c r="U119" s="3"/>
      <c r="V119" s="3"/>
      <c r="W119" s="3">
        <v>8</v>
      </c>
      <c r="X119" s="3" t="s">
        <v>286</v>
      </c>
      <c r="Y119" s="3"/>
      <c r="Z119" s="3" t="s">
        <v>337</v>
      </c>
      <c r="AA119" s="3" t="s">
        <v>168</v>
      </c>
      <c r="AB119" s="8" t="s">
        <v>288</v>
      </c>
    </row>
    <row r="120" spans="1:28">
      <c r="A120" s="3" t="s">
        <v>77</v>
      </c>
      <c r="B120" s="3" t="s">
        <v>284</v>
      </c>
      <c r="C120" s="3">
        <f t="shared" si="0"/>
        <v>-3679</v>
      </c>
      <c r="D120" s="3" t="s">
        <v>284</v>
      </c>
      <c r="E120" s="3">
        <v>60.725555999999997</v>
      </c>
      <c r="F120" s="3">
        <v>4.9761110000000004</v>
      </c>
      <c r="G120" s="3" t="s">
        <v>41</v>
      </c>
      <c r="H120" s="3" t="s">
        <v>42</v>
      </c>
      <c r="I120" s="3"/>
      <c r="J120" s="3" t="s">
        <v>332</v>
      </c>
      <c r="K120" s="3"/>
      <c r="L120" s="3">
        <v>5030</v>
      </c>
      <c r="M120" s="3">
        <v>80</v>
      </c>
      <c r="N120" s="3" t="s">
        <v>45</v>
      </c>
      <c r="O120" s="3" t="s">
        <v>46</v>
      </c>
      <c r="P120" s="3" t="s">
        <v>46</v>
      </c>
      <c r="Q120" s="3">
        <v>95.4</v>
      </c>
      <c r="R120" s="3">
        <v>5629</v>
      </c>
      <c r="S120" s="3">
        <v>123</v>
      </c>
      <c r="T120" s="3">
        <v>5629</v>
      </c>
      <c r="U120" s="3"/>
      <c r="V120" s="3"/>
      <c r="W120" s="3">
        <v>8</v>
      </c>
      <c r="X120" s="3" t="s">
        <v>286</v>
      </c>
      <c r="Y120" s="3"/>
      <c r="Z120" s="3" t="s">
        <v>338</v>
      </c>
      <c r="AA120" s="3" t="s">
        <v>168</v>
      </c>
      <c r="AB120" s="8" t="s">
        <v>288</v>
      </c>
    </row>
    <row r="121" spans="1:28">
      <c r="A121" s="3" t="s">
        <v>316</v>
      </c>
      <c r="B121" s="3" t="s">
        <v>317</v>
      </c>
      <c r="C121" s="3">
        <f t="shared" si="0"/>
        <v>-3697</v>
      </c>
      <c r="D121" s="3" t="s">
        <v>318</v>
      </c>
      <c r="E121" s="3">
        <v>55.889865999999998</v>
      </c>
      <c r="F121" s="3">
        <v>-11.145979000000001</v>
      </c>
      <c r="G121" s="3" t="s">
        <v>339</v>
      </c>
      <c r="H121" s="3" t="s">
        <v>32</v>
      </c>
      <c r="I121" s="10"/>
      <c r="J121" s="10" t="s">
        <v>340</v>
      </c>
      <c r="K121" s="3"/>
      <c r="L121" s="3">
        <v>5605</v>
      </c>
      <c r="M121" s="3">
        <v>15</v>
      </c>
      <c r="N121" s="3" t="s">
        <v>35</v>
      </c>
      <c r="O121" s="3">
        <v>-145</v>
      </c>
      <c r="P121" s="3">
        <v>54</v>
      </c>
      <c r="Q121" s="3">
        <v>95.4</v>
      </c>
      <c r="R121" s="3">
        <v>5647</v>
      </c>
      <c r="S121" s="3">
        <v>94</v>
      </c>
      <c r="T121" s="3">
        <v>5643</v>
      </c>
      <c r="U121" s="3"/>
      <c r="V121" s="3"/>
      <c r="W121" s="3">
        <v>9</v>
      </c>
      <c r="X121" s="3" t="s">
        <v>321</v>
      </c>
      <c r="Y121" s="10" t="s">
        <v>341</v>
      </c>
      <c r="Z121" s="10" t="s">
        <v>342</v>
      </c>
      <c r="AA121" s="3" t="s">
        <v>343</v>
      </c>
      <c r="AB121" s="8" t="s">
        <v>325</v>
      </c>
    </row>
    <row r="122" spans="1:28">
      <c r="A122" s="3" t="s">
        <v>77</v>
      </c>
      <c r="B122" s="3" t="s">
        <v>284</v>
      </c>
      <c r="C122" s="3">
        <f t="shared" si="0"/>
        <v>-3706</v>
      </c>
      <c r="D122" s="3" t="s">
        <v>284</v>
      </c>
      <c r="E122" s="3">
        <v>60.725555999999997</v>
      </c>
      <c r="F122" s="3">
        <v>4.9761110000000004</v>
      </c>
      <c r="G122" s="3" t="s">
        <v>41</v>
      </c>
      <c r="H122" s="3" t="s">
        <v>42</v>
      </c>
      <c r="I122" s="3"/>
      <c r="J122" s="3" t="s">
        <v>332</v>
      </c>
      <c r="K122" s="3"/>
      <c r="L122" s="3">
        <v>5050</v>
      </c>
      <c r="M122" s="3">
        <v>70</v>
      </c>
      <c r="N122" s="3" t="s">
        <v>45</v>
      </c>
      <c r="O122" s="3" t="s">
        <v>46</v>
      </c>
      <c r="P122" s="3" t="s">
        <v>46</v>
      </c>
      <c r="Q122" s="3">
        <v>95.4</v>
      </c>
      <c r="R122" s="3">
        <v>5656</v>
      </c>
      <c r="S122" s="3">
        <v>112</v>
      </c>
      <c r="T122" s="3">
        <v>5649</v>
      </c>
      <c r="U122" s="3"/>
      <c r="V122" s="3"/>
      <c r="W122" s="3">
        <v>8</v>
      </c>
      <c r="X122" s="3" t="s">
        <v>286</v>
      </c>
      <c r="Y122" s="3"/>
      <c r="Z122" s="3" t="s">
        <v>344</v>
      </c>
      <c r="AA122" s="3" t="s">
        <v>168</v>
      </c>
      <c r="AB122" s="8" t="s">
        <v>288</v>
      </c>
    </row>
    <row r="123" spans="1:28">
      <c r="A123" s="3" t="s">
        <v>316</v>
      </c>
      <c r="B123" s="3" t="s">
        <v>317</v>
      </c>
      <c r="C123" s="3">
        <f t="shared" si="0"/>
        <v>-3742</v>
      </c>
      <c r="D123" s="3" t="s">
        <v>318</v>
      </c>
      <c r="E123" s="3">
        <v>55.889865999999998</v>
      </c>
      <c r="F123" s="3">
        <v>-11.145979000000001</v>
      </c>
      <c r="G123" s="3" t="s">
        <v>345</v>
      </c>
      <c r="H123" s="3" t="s">
        <v>42</v>
      </c>
      <c r="I123" s="3"/>
      <c r="J123" s="3" t="s">
        <v>320</v>
      </c>
      <c r="K123" s="3"/>
      <c r="L123" s="3">
        <v>4980</v>
      </c>
      <c r="M123" s="3">
        <v>20</v>
      </c>
      <c r="N123" s="3" t="s">
        <v>45</v>
      </c>
      <c r="O123" s="3" t="s">
        <v>46</v>
      </c>
      <c r="P123" s="3" t="s">
        <v>46</v>
      </c>
      <c r="Q123" s="3">
        <v>95.4</v>
      </c>
      <c r="R123" s="3">
        <v>5692</v>
      </c>
      <c r="S123" s="3">
        <v>47</v>
      </c>
      <c r="T123" s="3">
        <v>5691</v>
      </c>
      <c r="U123" s="3"/>
      <c r="V123" s="3"/>
      <c r="W123" s="3">
        <v>9</v>
      </c>
      <c r="X123" s="3" t="s">
        <v>321</v>
      </c>
      <c r="Y123" s="10" t="s">
        <v>346</v>
      </c>
      <c r="Z123" s="10" t="s">
        <v>347</v>
      </c>
      <c r="AA123" s="3" t="s">
        <v>343</v>
      </c>
      <c r="AB123" s="8" t="s">
        <v>325</v>
      </c>
    </row>
    <row r="124" spans="1:28">
      <c r="A124" s="3" t="s">
        <v>77</v>
      </c>
      <c r="B124" s="3" t="s">
        <v>284</v>
      </c>
      <c r="C124" s="3">
        <f t="shared" si="0"/>
        <v>-3760</v>
      </c>
      <c r="D124" s="3" t="s">
        <v>284</v>
      </c>
      <c r="E124" s="3">
        <v>60.725555999999997</v>
      </c>
      <c r="F124" s="3">
        <v>4.9761110000000004</v>
      </c>
      <c r="G124" s="3" t="s">
        <v>41</v>
      </c>
      <c r="H124" s="3" t="s">
        <v>42</v>
      </c>
      <c r="I124" s="3"/>
      <c r="J124" s="3" t="s">
        <v>332</v>
      </c>
      <c r="K124" s="3"/>
      <c r="L124" s="3">
        <v>5100</v>
      </c>
      <c r="M124" s="3">
        <v>60</v>
      </c>
      <c r="N124" s="3" t="s">
        <v>45</v>
      </c>
      <c r="O124" s="3" t="s">
        <v>46</v>
      </c>
      <c r="P124" s="3" t="s">
        <v>46</v>
      </c>
      <c r="Q124" s="3">
        <v>95.4</v>
      </c>
      <c r="R124" s="3">
        <v>5710</v>
      </c>
      <c r="S124" s="3">
        <v>97</v>
      </c>
      <c r="T124" s="3">
        <v>5697</v>
      </c>
      <c r="U124" s="3"/>
      <c r="V124" s="3"/>
      <c r="W124" s="3">
        <v>8</v>
      </c>
      <c r="X124" s="3" t="s">
        <v>286</v>
      </c>
      <c r="Y124" s="3"/>
      <c r="Z124" s="3" t="s">
        <v>348</v>
      </c>
      <c r="AA124" s="3" t="s">
        <v>168</v>
      </c>
      <c r="AB124" s="8" t="s">
        <v>288</v>
      </c>
    </row>
    <row r="125" spans="1:28">
      <c r="A125" s="3" t="s">
        <v>261</v>
      </c>
      <c r="B125" s="3" t="s">
        <v>349</v>
      </c>
      <c r="C125" s="3">
        <f t="shared" si="0"/>
        <v>-3799</v>
      </c>
      <c r="D125" s="3"/>
      <c r="E125" s="3">
        <v>55.950403000000001</v>
      </c>
      <c r="F125" s="3">
        <v>11.899284</v>
      </c>
      <c r="G125" s="3" t="s">
        <v>350</v>
      </c>
      <c r="H125" s="3" t="s">
        <v>32</v>
      </c>
      <c r="I125" s="3"/>
      <c r="J125" s="3"/>
      <c r="K125" s="3"/>
      <c r="L125" s="3">
        <v>5460</v>
      </c>
      <c r="M125" s="3">
        <v>40</v>
      </c>
      <c r="N125" s="3" t="s">
        <v>35</v>
      </c>
      <c r="O125" s="3">
        <v>-95</v>
      </c>
      <c r="P125" s="3">
        <v>188</v>
      </c>
      <c r="Q125" s="3">
        <v>95.4</v>
      </c>
      <c r="R125" s="3">
        <v>5749</v>
      </c>
      <c r="S125" s="3">
        <v>219</v>
      </c>
      <c r="T125" s="3">
        <v>5749</v>
      </c>
      <c r="U125" s="3"/>
      <c r="V125" s="3"/>
      <c r="W125" s="3">
        <v>3</v>
      </c>
      <c r="X125" s="3"/>
      <c r="Y125" s="3" t="s">
        <v>351</v>
      </c>
      <c r="Z125" s="3" t="s">
        <v>352</v>
      </c>
      <c r="AA125" s="3" t="s">
        <v>265</v>
      </c>
      <c r="AB125" s="8" t="s">
        <v>266</v>
      </c>
    </row>
    <row r="126" spans="1:28">
      <c r="A126" s="3" t="s">
        <v>77</v>
      </c>
      <c r="B126" s="3" t="s">
        <v>284</v>
      </c>
      <c r="C126" s="3">
        <f t="shared" si="0"/>
        <v>-3818</v>
      </c>
      <c r="D126" s="3" t="s">
        <v>284</v>
      </c>
      <c r="E126" s="3">
        <v>60.725555999999997</v>
      </c>
      <c r="F126" s="3">
        <v>4.9761110000000004</v>
      </c>
      <c r="G126" s="3" t="s">
        <v>41</v>
      </c>
      <c r="H126" s="3" t="s">
        <v>42</v>
      </c>
      <c r="I126" s="3"/>
      <c r="J126" s="3" t="s">
        <v>332</v>
      </c>
      <c r="K126" s="3"/>
      <c r="L126" s="3">
        <v>5160</v>
      </c>
      <c r="M126" s="3">
        <v>120</v>
      </c>
      <c r="N126" s="3" t="s">
        <v>45</v>
      </c>
      <c r="O126" s="3" t="s">
        <v>46</v>
      </c>
      <c r="P126" s="3" t="s">
        <v>46</v>
      </c>
      <c r="Q126" s="3">
        <v>95.4</v>
      </c>
      <c r="R126" s="3">
        <v>5768</v>
      </c>
      <c r="S126" s="3">
        <v>146</v>
      </c>
      <c r="T126" s="3">
        <v>5764</v>
      </c>
      <c r="U126" s="3"/>
      <c r="V126" s="3"/>
      <c r="W126" s="3">
        <v>8</v>
      </c>
      <c r="X126" s="3" t="s">
        <v>286</v>
      </c>
      <c r="Y126" s="3"/>
      <c r="Z126" s="3" t="s">
        <v>353</v>
      </c>
      <c r="AA126" s="3" t="s">
        <v>168</v>
      </c>
      <c r="AB126" s="8" t="s">
        <v>288</v>
      </c>
    </row>
    <row r="127" spans="1:28">
      <c r="A127" s="3" t="s">
        <v>316</v>
      </c>
      <c r="B127" s="3" t="s">
        <v>317</v>
      </c>
      <c r="C127" s="3">
        <f t="shared" si="0"/>
        <v>-3823</v>
      </c>
      <c r="D127" s="3" t="s">
        <v>318</v>
      </c>
      <c r="E127" s="3">
        <v>55.889865999999998</v>
      </c>
      <c r="F127" s="3">
        <v>-11.145979000000001</v>
      </c>
      <c r="G127" s="3" t="s">
        <v>345</v>
      </c>
      <c r="H127" s="3" t="s">
        <v>42</v>
      </c>
      <c r="I127" s="3"/>
      <c r="J127" s="3" t="s">
        <v>320</v>
      </c>
      <c r="K127" s="3"/>
      <c r="L127" s="3">
        <v>5015</v>
      </c>
      <c r="M127" s="3">
        <v>20</v>
      </c>
      <c r="N127" s="3" t="s">
        <v>45</v>
      </c>
      <c r="O127" s="3" t="s">
        <v>46</v>
      </c>
      <c r="P127" s="3" t="s">
        <v>46</v>
      </c>
      <c r="Q127" s="3">
        <v>95.4</v>
      </c>
      <c r="R127" s="3">
        <v>5773</v>
      </c>
      <c r="S127" s="3">
        <v>71</v>
      </c>
      <c r="T127" s="3">
        <v>5746</v>
      </c>
      <c r="U127" s="3"/>
      <c r="V127" s="3"/>
      <c r="W127" s="3">
        <v>9</v>
      </c>
      <c r="X127" s="3" t="s">
        <v>321</v>
      </c>
      <c r="Y127" s="10" t="s">
        <v>354</v>
      </c>
      <c r="Z127" s="10" t="s">
        <v>355</v>
      </c>
      <c r="AA127" s="3" t="s">
        <v>343</v>
      </c>
      <c r="AB127" s="8" t="s">
        <v>325</v>
      </c>
    </row>
    <row r="128" spans="1:28">
      <c r="A128" s="3" t="s">
        <v>316</v>
      </c>
      <c r="B128" s="3" t="s">
        <v>317</v>
      </c>
      <c r="C128" s="3">
        <f t="shared" si="0"/>
        <v>-3836</v>
      </c>
      <c r="D128" s="3" t="s">
        <v>318</v>
      </c>
      <c r="E128" s="3">
        <v>55.889865999999998</v>
      </c>
      <c r="F128" s="3">
        <v>-11.145979000000001</v>
      </c>
      <c r="G128" s="3" t="s">
        <v>356</v>
      </c>
      <c r="H128" s="3" t="s">
        <v>42</v>
      </c>
      <c r="I128" s="3"/>
      <c r="J128" s="3" t="s">
        <v>320</v>
      </c>
      <c r="K128" s="3"/>
      <c r="L128" s="3">
        <v>5020</v>
      </c>
      <c r="M128" s="3">
        <v>20</v>
      </c>
      <c r="N128" s="3" t="s">
        <v>45</v>
      </c>
      <c r="O128" s="3" t="s">
        <v>46</v>
      </c>
      <c r="P128" s="3" t="s">
        <v>46</v>
      </c>
      <c r="Q128" s="3">
        <v>95.4</v>
      </c>
      <c r="R128" s="3">
        <v>5786</v>
      </c>
      <c r="S128" s="3">
        <v>69</v>
      </c>
      <c r="T128" s="3">
        <v>5789</v>
      </c>
      <c r="U128" s="3"/>
      <c r="V128" s="3"/>
      <c r="W128" s="3">
        <v>9</v>
      </c>
      <c r="X128" s="3" t="s">
        <v>321</v>
      </c>
      <c r="Y128" s="10" t="s">
        <v>357</v>
      </c>
      <c r="Z128" s="10" t="s">
        <v>358</v>
      </c>
      <c r="AA128" s="3" t="s">
        <v>343</v>
      </c>
      <c r="AB128" s="8" t="s">
        <v>325</v>
      </c>
    </row>
    <row r="129" spans="1:28">
      <c r="A129" s="3" t="s">
        <v>261</v>
      </c>
      <c r="B129" s="3" t="s">
        <v>359</v>
      </c>
      <c r="C129" s="3">
        <f t="shared" si="0"/>
        <v>-3902</v>
      </c>
      <c r="D129" s="3"/>
      <c r="E129" s="3">
        <v>56.460704</v>
      </c>
      <c r="F129" s="3">
        <v>10.036390000000001</v>
      </c>
      <c r="G129" s="3" t="s">
        <v>360</v>
      </c>
      <c r="H129" s="3" t="s">
        <v>42</v>
      </c>
      <c r="I129" s="3"/>
      <c r="J129" s="3"/>
      <c r="K129" s="3"/>
      <c r="L129" s="3">
        <v>5115</v>
      </c>
      <c r="M129" s="3">
        <v>70</v>
      </c>
      <c r="N129" s="3" t="s">
        <v>45</v>
      </c>
      <c r="O129" s="3" t="s">
        <v>46</v>
      </c>
      <c r="P129" s="3" t="s">
        <v>46</v>
      </c>
      <c r="Q129" s="3">
        <v>95.4</v>
      </c>
      <c r="R129" s="3">
        <v>5852</v>
      </c>
      <c r="S129" s="3">
        <v>111</v>
      </c>
      <c r="T129" s="13">
        <v>5846</v>
      </c>
      <c r="U129" s="13"/>
      <c r="V129" s="13"/>
      <c r="W129" s="3">
        <v>3</v>
      </c>
      <c r="X129" s="3"/>
      <c r="Y129" s="3" t="s">
        <v>361</v>
      </c>
      <c r="Z129" s="3" t="s">
        <v>362</v>
      </c>
      <c r="AA129" s="3" t="s">
        <v>265</v>
      </c>
      <c r="AB129" s="8" t="s">
        <v>266</v>
      </c>
    </row>
    <row r="130" spans="1:28">
      <c r="A130" s="3" t="s">
        <v>316</v>
      </c>
      <c r="B130" s="3" t="s">
        <v>317</v>
      </c>
      <c r="C130" s="3">
        <f t="shared" si="0"/>
        <v>-4005</v>
      </c>
      <c r="D130" s="3" t="s">
        <v>318</v>
      </c>
      <c r="E130" s="3">
        <v>55.889865999999998</v>
      </c>
      <c r="F130" s="3">
        <v>-11.145979000000001</v>
      </c>
      <c r="G130" s="3" t="s">
        <v>363</v>
      </c>
      <c r="H130" s="3" t="s">
        <v>42</v>
      </c>
      <c r="I130" s="3"/>
      <c r="J130" s="3" t="s">
        <v>320</v>
      </c>
      <c r="K130" s="3"/>
      <c r="L130" s="3">
        <v>5195</v>
      </c>
      <c r="M130" s="3">
        <v>20</v>
      </c>
      <c r="N130" s="3" t="s">
        <v>45</v>
      </c>
      <c r="O130" s="3" t="s">
        <v>46</v>
      </c>
      <c r="P130" s="3" t="s">
        <v>46</v>
      </c>
      <c r="Q130" s="3">
        <v>95.4</v>
      </c>
      <c r="R130" s="3">
        <v>5955</v>
      </c>
      <c r="S130" s="3">
        <v>28</v>
      </c>
      <c r="T130" s="3">
        <v>5954</v>
      </c>
      <c r="U130" s="3"/>
      <c r="V130" s="3"/>
      <c r="W130" s="3">
        <v>9</v>
      </c>
      <c r="X130" s="3" t="s">
        <v>321</v>
      </c>
      <c r="Y130" s="10" t="s">
        <v>364</v>
      </c>
      <c r="Z130" s="10" t="s">
        <v>365</v>
      </c>
      <c r="AA130" s="3" t="s">
        <v>343</v>
      </c>
      <c r="AB130" s="8" t="s">
        <v>325</v>
      </c>
    </row>
    <row r="131" spans="1:28">
      <c r="A131" s="3" t="s">
        <v>366</v>
      </c>
      <c r="B131" s="3" t="s">
        <v>367</v>
      </c>
      <c r="C131" s="3">
        <f t="shared" si="0"/>
        <v>-4185</v>
      </c>
      <c r="D131" s="3" t="s">
        <v>368</v>
      </c>
      <c r="E131" s="3">
        <v>33.833300000000001</v>
      </c>
      <c r="F131" s="3">
        <v>-6.9832999999999998</v>
      </c>
      <c r="G131" s="3" t="s">
        <v>369</v>
      </c>
      <c r="H131" s="3" t="s">
        <v>32</v>
      </c>
      <c r="I131" s="3"/>
      <c r="J131" s="3"/>
      <c r="K131" s="3"/>
      <c r="L131" s="3">
        <v>5800</v>
      </c>
      <c r="M131" s="3">
        <v>150</v>
      </c>
      <c r="N131" s="3" t="s">
        <v>35</v>
      </c>
      <c r="O131" s="3">
        <v>-117</v>
      </c>
      <c r="P131" s="3">
        <v>104</v>
      </c>
      <c r="Q131" s="3">
        <v>95.4</v>
      </c>
      <c r="R131" s="3">
        <v>6135</v>
      </c>
      <c r="S131" s="3">
        <v>209</v>
      </c>
      <c r="T131" s="3">
        <v>6135</v>
      </c>
      <c r="U131" s="3"/>
      <c r="V131" s="3"/>
      <c r="W131" s="3">
        <v>4</v>
      </c>
      <c r="X131" s="3"/>
      <c r="Y131" s="3"/>
      <c r="Z131" s="3" t="s">
        <v>370</v>
      </c>
      <c r="AA131" s="3"/>
      <c r="AB131" s="8" t="s">
        <v>371</v>
      </c>
    </row>
    <row r="132" spans="1:28">
      <c r="A132" s="3" t="s">
        <v>217</v>
      </c>
      <c r="B132" s="3" t="s">
        <v>372</v>
      </c>
      <c r="C132" s="3">
        <f t="shared" si="0"/>
        <v>-4978</v>
      </c>
      <c r="D132" s="3" t="s">
        <v>373</v>
      </c>
      <c r="E132" s="3">
        <v>52.065899000000002</v>
      </c>
      <c r="F132" s="3">
        <v>4.1853480000000003</v>
      </c>
      <c r="G132" s="3" t="s">
        <v>220</v>
      </c>
      <c r="H132" s="3" t="s">
        <v>32</v>
      </c>
      <c r="I132" s="3"/>
      <c r="J132" s="3"/>
      <c r="K132" s="3"/>
      <c r="L132" s="3">
        <v>6480</v>
      </c>
      <c r="M132" s="3">
        <v>40</v>
      </c>
      <c r="N132" s="3" t="s">
        <v>35</v>
      </c>
      <c r="O132" s="3">
        <v>-159</v>
      </c>
      <c r="P132" s="3">
        <v>127</v>
      </c>
      <c r="Q132" s="3">
        <v>95.4</v>
      </c>
      <c r="R132" s="3">
        <v>6928</v>
      </c>
      <c r="S132" s="3">
        <v>167</v>
      </c>
      <c r="T132" s="3">
        <v>6928</v>
      </c>
      <c r="U132" s="3"/>
      <c r="V132" s="3"/>
      <c r="W132" s="3">
        <v>13</v>
      </c>
      <c r="X132" s="3"/>
      <c r="Y132" s="3" t="s">
        <v>374</v>
      </c>
      <c r="Z132" s="3" t="s">
        <v>375</v>
      </c>
      <c r="AA132" s="3"/>
      <c r="AB132" s="6" t="s">
        <v>223</v>
      </c>
    </row>
    <row r="133" spans="1:28">
      <c r="A133" s="6" t="s">
        <v>366</v>
      </c>
      <c r="B133" s="3" t="s">
        <v>367</v>
      </c>
      <c r="C133" s="3">
        <f t="shared" si="0"/>
        <v>-5442</v>
      </c>
      <c r="D133" s="3" t="s">
        <v>368</v>
      </c>
      <c r="E133" s="3">
        <v>33.833300000000001</v>
      </c>
      <c r="F133" s="3">
        <v>-6.9832999999999998</v>
      </c>
      <c r="G133" s="3" t="s">
        <v>369</v>
      </c>
      <c r="H133" s="3" t="s">
        <v>376</v>
      </c>
      <c r="I133" s="3"/>
      <c r="J133" s="3"/>
      <c r="K133" s="3"/>
      <c r="L133" s="3">
        <v>6978</v>
      </c>
      <c r="M133" s="3">
        <v>167</v>
      </c>
      <c r="N133" s="3" t="s">
        <v>35</v>
      </c>
      <c r="O133" s="3">
        <v>-117</v>
      </c>
      <c r="P133" s="3">
        <v>104</v>
      </c>
      <c r="Q133" s="3">
        <v>95.4</v>
      </c>
      <c r="R133" s="3">
        <v>7392</v>
      </c>
      <c r="S133" s="3">
        <v>205</v>
      </c>
      <c r="T133" s="3">
        <v>7395</v>
      </c>
      <c r="U133" s="3"/>
      <c r="V133" s="3"/>
      <c r="W133" s="3">
        <v>4</v>
      </c>
      <c r="X133" s="3"/>
      <c r="Y133" s="3"/>
      <c r="Z133" s="3" t="s">
        <v>377</v>
      </c>
      <c r="AA133" s="3"/>
      <c r="AB133" s="8" t="s">
        <v>378</v>
      </c>
    </row>
    <row r="134" spans="1:28">
      <c r="A134" s="3" t="s">
        <v>77</v>
      </c>
      <c r="B134" s="3" t="s">
        <v>284</v>
      </c>
      <c r="C134" s="3">
        <f t="shared" si="0"/>
        <v>-5951</v>
      </c>
      <c r="D134" s="10"/>
      <c r="E134" s="3">
        <v>60.725555999999997</v>
      </c>
      <c r="F134" s="3">
        <v>4.9761110000000004</v>
      </c>
      <c r="G134" s="3" t="s">
        <v>41</v>
      </c>
      <c r="H134" s="3" t="s">
        <v>42</v>
      </c>
      <c r="I134" s="3"/>
      <c r="J134" s="3" t="s">
        <v>379</v>
      </c>
      <c r="K134" s="3" t="s">
        <v>380</v>
      </c>
      <c r="L134" s="3">
        <v>7230</v>
      </c>
      <c r="M134" s="3">
        <v>100</v>
      </c>
      <c r="N134" s="3" t="s">
        <v>45</v>
      </c>
      <c r="O134" s="3" t="s">
        <v>46</v>
      </c>
      <c r="P134" s="3" t="s">
        <v>46</v>
      </c>
      <c r="Q134" s="3">
        <v>95.4</v>
      </c>
      <c r="R134" s="3">
        <v>7901</v>
      </c>
      <c r="S134" s="3">
        <v>115</v>
      </c>
      <c r="T134" s="3">
        <v>7899</v>
      </c>
      <c r="U134" s="3"/>
      <c r="V134" s="3"/>
      <c r="W134" s="3">
        <v>7</v>
      </c>
      <c r="X134" s="10" t="s">
        <v>381</v>
      </c>
      <c r="Y134" s="10"/>
      <c r="Z134" s="10" t="s">
        <v>382</v>
      </c>
      <c r="AA134" s="3" t="s">
        <v>168</v>
      </c>
      <c r="AB134" s="8" t="s">
        <v>288</v>
      </c>
    </row>
    <row r="135" spans="1:28">
      <c r="A135" s="3" t="s">
        <v>383</v>
      </c>
      <c r="B135" s="3" t="s">
        <v>384</v>
      </c>
      <c r="C135" s="3">
        <f t="shared" si="0"/>
        <v>-5952</v>
      </c>
      <c r="D135" s="3"/>
      <c r="E135" s="3">
        <v>57.366667</v>
      </c>
      <c r="F135" s="3">
        <v>12.083333</v>
      </c>
      <c r="G135" s="3" t="s">
        <v>220</v>
      </c>
      <c r="H135" s="3" t="s">
        <v>32</v>
      </c>
      <c r="I135" s="3"/>
      <c r="J135" s="3"/>
      <c r="K135" s="3"/>
      <c r="L135" s="3">
        <v>7440</v>
      </c>
      <c r="M135" s="3">
        <v>160</v>
      </c>
      <c r="N135" s="3" t="s">
        <v>35</v>
      </c>
      <c r="O135" s="3">
        <v>-174</v>
      </c>
      <c r="P135" s="3">
        <v>67</v>
      </c>
      <c r="Q135" s="3">
        <v>95.4</v>
      </c>
      <c r="R135" s="3">
        <v>7902</v>
      </c>
      <c r="S135" s="3">
        <v>187</v>
      </c>
      <c r="T135" s="3">
        <v>7897</v>
      </c>
      <c r="U135" s="3"/>
      <c r="V135" s="3"/>
      <c r="W135" s="3">
        <v>13</v>
      </c>
      <c r="X135" s="3"/>
      <c r="Y135" s="3"/>
      <c r="Z135" s="3" t="s">
        <v>385</v>
      </c>
      <c r="AA135" s="3" t="s">
        <v>265</v>
      </c>
      <c r="AB135" s="8" t="s">
        <v>386</v>
      </c>
    </row>
    <row r="136" spans="1:28">
      <c r="A136" s="3" t="s">
        <v>77</v>
      </c>
      <c r="B136" s="3" t="s">
        <v>284</v>
      </c>
      <c r="C136" s="3">
        <f t="shared" si="0"/>
        <v>-6061</v>
      </c>
      <c r="D136" s="10"/>
      <c r="E136" s="3">
        <v>60.725555999999997</v>
      </c>
      <c r="F136" s="3">
        <v>4.9761110000000004</v>
      </c>
      <c r="G136" s="3" t="s">
        <v>41</v>
      </c>
      <c r="H136" s="3" t="s">
        <v>42</v>
      </c>
      <c r="I136" s="3"/>
      <c r="J136" s="3" t="s">
        <v>379</v>
      </c>
      <c r="K136" s="3" t="s">
        <v>387</v>
      </c>
      <c r="L136" s="3">
        <v>7330</v>
      </c>
      <c r="M136" s="3">
        <v>110</v>
      </c>
      <c r="N136" s="3" t="s">
        <v>45</v>
      </c>
      <c r="O136" s="3" t="s">
        <v>46</v>
      </c>
      <c r="P136" s="3" t="s">
        <v>46</v>
      </c>
      <c r="Q136" s="3">
        <v>95.4</v>
      </c>
      <c r="R136" s="3">
        <v>8011</v>
      </c>
      <c r="S136" s="3">
        <v>131</v>
      </c>
      <c r="T136" s="3">
        <v>8005</v>
      </c>
      <c r="U136" s="3"/>
      <c r="V136" s="3"/>
      <c r="W136" s="3">
        <v>8</v>
      </c>
      <c r="X136" s="10" t="s">
        <v>388</v>
      </c>
      <c r="Y136" s="10"/>
      <c r="Z136" s="10" t="s">
        <v>389</v>
      </c>
      <c r="AA136" s="3" t="s">
        <v>168</v>
      </c>
      <c r="AB136" s="8" t="s">
        <v>288</v>
      </c>
    </row>
    <row r="137" spans="1:28">
      <c r="A137" s="3" t="s">
        <v>77</v>
      </c>
      <c r="B137" s="3" t="s">
        <v>284</v>
      </c>
      <c r="C137" s="3">
        <f t="shared" si="0"/>
        <v>-6171</v>
      </c>
      <c r="D137" s="10"/>
      <c r="E137" s="3">
        <v>60.725555999999997</v>
      </c>
      <c r="F137" s="3">
        <v>4.9761110000000004</v>
      </c>
      <c r="G137" s="3" t="s">
        <v>41</v>
      </c>
      <c r="H137" s="3" t="s">
        <v>42</v>
      </c>
      <c r="I137" s="3"/>
      <c r="J137" s="3" t="s">
        <v>379</v>
      </c>
      <c r="K137" s="3" t="s">
        <v>380</v>
      </c>
      <c r="L137" s="3">
        <v>7440</v>
      </c>
      <c r="M137" s="3">
        <v>110</v>
      </c>
      <c r="N137" s="3" t="s">
        <v>45</v>
      </c>
      <c r="O137" s="3" t="s">
        <v>46</v>
      </c>
      <c r="P137" s="3" t="s">
        <v>46</v>
      </c>
      <c r="Q137" s="3">
        <v>95.4</v>
      </c>
      <c r="R137" s="3">
        <v>8121</v>
      </c>
      <c r="S137" s="3">
        <v>122</v>
      </c>
      <c r="T137" s="3">
        <v>8115</v>
      </c>
      <c r="U137" s="3"/>
      <c r="V137" s="3"/>
      <c r="W137" s="3">
        <v>7</v>
      </c>
      <c r="X137" s="10" t="s">
        <v>381</v>
      </c>
      <c r="Y137" s="10"/>
      <c r="Z137" s="10" t="s">
        <v>390</v>
      </c>
      <c r="AA137" s="3" t="s">
        <v>168</v>
      </c>
      <c r="AB137" s="8" t="s">
        <v>288</v>
      </c>
    </row>
    <row r="138" spans="1:28">
      <c r="A138" s="3" t="s">
        <v>77</v>
      </c>
      <c r="B138" s="3" t="s">
        <v>284</v>
      </c>
      <c r="C138" s="3">
        <f t="shared" si="0"/>
        <v>-6309</v>
      </c>
      <c r="D138" s="10"/>
      <c r="E138" s="3">
        <v>60.725555999999997</v>
      </c>
      <c r="F138" s="3">
        <v>4.9761110000000004</v>
      </c>
      <c r="G138" s="3" t="s">
        <v>41</v>
      </c>
      <c r="H138" s="3" t="s">
        <v>42</v>
      </c>
      <c r="I138" s="3"/>
      <c r="J138" s="3" t="s">
        <v>379</v>
      </c>
      <c r="K138" s="3" t="s">
        <v>380</v>
      </c>
      <c r="L138" s="3">
        <v>7610</v>
      </c>
      <c r="M138" s="3">
        <v>90</v>
      </c>
      <c r="N138" s="3" t="s">
        <v>45</v>
      </c>
      <c r="O138" s="3" t="s">
        <v>46</v>
      </c>
      <c r="P138" s="3" t="s">
        <v>46</v>
      </c>
      <c r="Q138" s="3">
        <v>95.4</v>
      </c>
      <c r="R138" s="3">
        <v>8259</v>
      </c>
      <c r="S138" s="3">
        <v>105</v>
      </c>
      <c r="T138" s="3">
        <v>8265</v>
      </c>
      <c r="U138" s="3"/>
      <c r="V138" s="3"/>
      <c r="W138" s="3">
        <v>7</v>
      </c>
      <c r="X138" s="10" t="s">
        <v>381</v>
      </c>
      <c r="Y138" s="10"/>
      <c r="Z138" s="10" t="s">
        <v>391</v>
      </c>
      <c r="AA138" s="3" t="s">
        <v>168</v>
      </c>
      <c r="AB138" s="8" t="s">
        <v>288</v>
      </c>
    </row>
    <row r="139" spans="1:28">
      <c r="A139" s="3" t="s">
        <v>383</v>
      </c>
      <c r="B139" s="3" t="s">
        <v>384</v>
      </c>
      <c r="C139" s="3">
        <f t="shared" si="0"/>
        <v>-6333</v>
      </c>
      <c r="D139" s="3"/>
      <c r="E139" s="3">
        <v>57.366667</v>
      </c>
      <c r="F139" s="3">
        <v>12.083333</v>
      </c>
      <c r="G139" s="3" t="s">
        <v>220</v>
      </c>
      <c r="H139" s="3" t="s">
        <v>32</v>
      </c>
      <c r="I139" s="3"/>
      <c r="J139" s="3"/>
      <c r="K139" s="3"/>
      <c r="L139" s="3">
        <v>7810</v>
      </c>
      <c r="M139" s="3">
        <v>135</v>
      </c>
      <c r="N139" s="3" t="s">
        <v>35</v>
      </c>
      <c r="O139" s="3">
        <v>-174</v>
      </c>
      <c r="P139" s="3">
        <v>67</v>
      </c>
      <c r="Q139" s="3">
        <v>95.4</v>
      </c>
      <c r="R139" s="3">
        <v>8283</v>
      </c>
      <c r="S139" s="3">
        <v>180</v>
      </c>
      <c r="T139" s="3">
        <v>8278</v>
      </c>
      <c r="U139" s="3"/>
      <c r="V139" s="3"/>
      <c r="W139" s="3">
        <v>13</v>
      </c>
      <c r="X139" s="3"/>
      <c r="Y139" s="3"/>
      <c r="Z139" s="3" t="s">
        <v>385</v>
      </c>
      <c r="AA139" s="3" t="s">
        <v>265</v>
      </c>
      <c r="AB139" s="8" t="s">
        <v>386</v>
      </c>
    </row>
    <row r="140" spans="1:28">
      <c r="A140" s="3" t="s">
        <v>383</v>
      </c>
      <c r="B140" s="3" t="s">
        <v>392</v>
      </c>
      <c r="C140" s="3">
        <f t="shared" si="0"/>
        <v>-6562</v>
      </c>
      <c r="D140" s="3"/>
      <c r="E140" s="3">
        <v>58.658332999999999</v>
      </c>
      <c r="F140" s="3">
        <v>11.233333</v>
      </c>
      <c r="G140" s="3" t="s">
        <v>220</v>
      </c>
      <c r="H140" s="3" t="s">
        <v>32</v>
      </c>
      <c r="I140" s="3"/>
      <c r="J140" s="3"/>
      <c r="K140" s="3"/>
      <c r="L140" s="3">
        <v>7975</v>
      </c>
      <c r="M140" s="3">
        <v>120</v>
      </c>
      <c r="N140" s="3" t="s">
        <v>35</v>
      </c>
      <c r="O140" s="3">
        <v>-199</v>
      </c>
      <c r="P140" s="3">
        <v>51</v>
      </c>
      <c r="Q140" s="3">
        <v>95.4</v>
      </c>
      <c r="R140" s="3">
        <v>8512</v>
      </c>
      <c r="S140" s="3">
        <v>176</v>
      </c>
      <c r="T140" s="3">
        <v>8499</v>
      </c>
      <c r="U140" s="3"/>
      <c r="V140" s="3"/>
      <c r="W140" s="3">
        <v>13</v>
      </c>
      <c r="X140" s="3"/>
      <c r="Y140" s="3"/>
      <c r="Z140" s="3" t="s">
        <v>393</v>
      </c>
      <c r="AA140" s="3"/>
      <c r="AB140" s="8" t="s">
        <v>386</v>
      </c>
    </row>
    <row r="141" spans="1:28">
      <c r="A141" s="3" t="s">
        <v>383</v>
      </c>
      <c r="B141" s="3" t="s">
        <v>384</v>
      </c>
      <c r="C141" s="3">
        <f t="shared" si="0"/>
        <v>-6574</v>
      </c>
      <c r="D141" s="3"/>
      <c r="E141" s="3">
        <v>57.366667</v>
      </c>
      <c r="F141" s="3">
        <v>12.083333</v>
      </c>
      <c r="G141" s="3" t="s">
        <v>220</v>
      </c>
      <c r="H141" s="3" t="s">
        <v>32</v>
      </c>
      <c r="I141" s="3"/>
      <c r="J141" s="3"/>
      <c r="K141" s="3"/>
      <c r="L141" s="3">
        <v>7985</v>
      </c>
      <c r="M141" s="3">
        <v>220</v>
      </c>
      <c r="N141" s="3" t="s">
        <v>35</v>
      </c>
      <c r="O141" s="3">
        <v>-174</v>
      </c>
      <c r="P141" s="3">
        <v>67</v>
      </c>
      <c r="Q141" s="3">
        <v>95.4</v>
      </c>
      <c r="R141" s="3">
        <v>8524</v>
      </c>
      <c r="S141" s="3">
        <v>286</v>
      </c>
      <c r="T141" s="3">
        <v>8509</v>
      </c>
      <c r="U141" s="3"/>
      <c r="V141" s="3"/>
      <c r="W141" s="3">
        <v>13</v>
      </c>
      <c r="X141" s="3"/>
      <c r="Y141" s="3"/>
      <c r="Z141" s="3" t="s">
        <v>385</v>
      </c>
      <c r="AA141" s="3" t="s">
        <v>265</v>
      </c>
      <c r="AB141" s="8" t="s">
        <v>386</v>
      </c>
    </row>
    <row r="142" spans="1:28">
      <c r="A142" s="3" t="s">
        <v>77</v>
      </c>
      <c r="B142" s="3" t="s">
        <v>284</v>
      </c>
      <c r="C142" s="3">
        <f t="shared" si="0"/>
        <v>-7388</v>
      </c>
      <c r="D142" s="10"/>
      <c r="E142" s="3">
        <v>60.725555999999997</v>
      </c>
      <c r="F142" s="3">
        <v>4.9761110000000004</v>
      </c>
      <c r="G142" s="3" t="s">
        <v>41</v>
      </c>
      <c r="H142" s="3" t="s">
        <v>42</v>
      </c>
      <c r="I142" s="3"/>
      <c r="J142" s="3" t="s">
        <v>379</v>
      </c>
      <c r="K142" s="3" t="s">
        <v>380</v>
      </c>
      <c r="L142" s="3">
        <v>8530</v>
      </c>
      <c r="M142" s="3">
        <v>135</v>
      </c>
      <c r="N142" s="3" t="s">
        <v>45</v>
      </c>
      <c r="O142" s="3" t="s">
        <v>46</v>
      </c>
      <c r="P142" s="3" t="s">
        <v>46</v>
      </c>
      <c r="Q142" s="3">
        <v>95.4</v>
      </c>
      <c r="R142" s="3">
        <v>9338</v>
      </c>
      <c r="S142" s="3">
        <v>170</v>
      </c>
      <c r="T142" s="3">
        <v>9350</v>
      </c>
      <c r="U142" s="3"/>
      <c r="V142" s="3"/>
      <c r="W142" s="3">
        <v>7</v>
      </c>
      <c r="X142" s="10" t="s">
        <v>394</v>
      </c>
      <c r="Y142" s="10"/>
      <c r="Z142" s="10" t="s">
        <v>395</v>
      </c>
      <c r="AA142" s="3"/>
      <c r="AB142" s="8" t="s">
        <v>288</v>
      </c>
    </row>
    <row r="143" spans="1:28">
      <c r="A143" s="3" t="s">
        <v>396</v>
      </c>
      <c r="B143" s="3" t="s">
        <v>397</v>
      </c>
      <c r="C143" s="3">
        <f t="shared" si="0"/>
        <v>-7675</v>
      </c>
      <c r="D143" s="3" t="s">
        <v>398</v>
      </c>
      <c r="E143" s="3">
        <v>42.819535999999999</v>
      </c>
      <c r="F143" s="3">
        <v>-70.811995999999994</v>
      </c>
      <c r="G143" s="3" t="s">
        <v>41</v>
      </c>
      <c r="H143" s="3" t="s">
        <v>42</v>
      </c>
      <c r="I143" s="3"/>
      <c r="J143" s="3"/>
      <c r="K143" s="3"/>
      <c r="L143" s="3">
        <v>8425</v>
      </c>
      <c r="M143" s="3">
        <v>70</v>
      </c>
      <c r="N143" s="3" t="s">
        <v>45</v>
      </c>
      <c r="O143" s="3" t="s">
        <v>46</v>
      </c>
      <c r="P143" s="3" t="s">
        <v>46</v>
      </c>
      <c r="Q143" s="3">
        <v>95.4</v>
      </c>
      <c r="R143" s="3">
        <v>9625</v>
      </c>
      <c r="S143" s="3">
        <v>127</v>
      </c>
      <c r="T143" s="3">
        <v>9603</v>
      </c>
      <c r="U143" s="3"/>
      <c r="V143" s="3"/>
      <c r="W143" s="3">
        <v>9</v>
      </c>
      <c r="X143" s="3"/>
      <c r="Y143" s="3"/>
      <c r="Z143" s="3" t="s">
        <v>399</v>
      </c>
      <c r="AA143" s="3" t="s">
        <v>106</v>
      </c>
      <c r="AB143" s="8" t="s">
        <v>400</v>
      </c>
    </row>
    <row r="144" spans="1:28">
      <c r="A144" s="3" t="s">
        <v>396</v>
      </c>
      <c r="B144" s="3" t="s">
        <v>397</v>
      </c>
      <c r="C144" s="3">
        <f t="shared" si="0"/>
        <v>-7774</v>
      </c>
      <c r="D144" s="3" t="s">
        <v>398</v>
      </c>
      <c r="E144" s="3">
        <v>42.819535999999999</v>
      </c>
      <c r="F144" s="3">
        <v>-70.811995999999994</v>
      </c>
      <c r="G144" s="3" t="s">
        <v>41</v>
      </c>
      <c r="H144" s="3" t="s">
        <v>42</v>
      </c>
      <c r="I144" s="3"/>
      <c r="J144" s="3"/>
      <c r="K144" s="3"/>
      <c r="L144" s="3">
        <v>8500</v>
      </c>
      <c r="M144" s="3">
        <v>80</v>
      </c>
      <c r="N144" s="3" t="s">
        <v>45</v>
      </c>
      <c r="O144" s="3" t="s">
        <v>46</v>
      </c>
      <c r="P144" s="3" t="s">
        <v>46</v>
      </c>
      <c r="Q144" s="3">
        <v>95.4</v>
      </c>
      <c r="R144" s="3">
        <v>9724</v>
      </c>
      <c r="S144" s="3">
        <v>157</v>
      </c>
      <c r="T144" s="3">
        <v>9688</v>
      </c>
      <c r="U144" s="3"/>
      <c r="V144" s="3"/>
      <c r="W144" s="3">
        <v>9</v>
      </c>
      <c r="X144" s="3"/>
      <c r="Y144" s="3"/>
      <c r="Z144" s="3" t="s">
        <v>401</v>
      </c>
      <c r="AA144" s="3" t="s">
        <v>106</v>
      </c>
      <c r="AB144" s="8" t="s">
        <v>400</v>
      </c>
    </row>
    <row r="145" spans="1:28">
      <c r="A145" s="3"/>
      <c r="B145" s="10"/>
      <c r="C145" s="3"/>
      <c r="D145" s="3"/>
      <c r="E145" s="3"/>
      <c r="F145" s="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3"/>
      <c r="S145" s="3"/>
      <c r="T145" s="3"/>
      <c r="U145" s="3"/>
      <c r="V145" s="3"/>
      <c r="W145" s="3"/>
      <c r="X145" s="10"/>
      <c r="Y145" s="10"/>
      <c r="Z145" s="10"/>
      <c r="AA145" s="10"/>
      <c r="AB145" s="10"/>
    </row>
    <row r="146" spans="1:28">
      <c r="A146" s="3"/>
      <c r="B146" s="10"/>
      <c r="C146" s="3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3"/>
      <c r="S146" s="3"/>
      <c r="T146" s="3"/>
      <c r="U146" s="3"/>
      <c r="V146" s="3"/>
      <c r="W146" s="10"/>
      <c r="X146" s="10"/>
      <c r="Y146" s="10"/>
      <c r="Z146" s="10"/>
      <c r="AA146" s="10"/>
      <c r="AB146" s="10"/>
    </row>
    <row r="147" spans="1:28">
      <c r="A147" s="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>
      <c r="A148" s="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>
      <c r="A149" s="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>
      <c r="A150" s="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</sheetData>
  <hyperlinks>
    <hyperlink ref="AB32" r:id="rId1" xr:uid="{00000000-0004-0000-0000-000000000000}"/>
    <hyperlink ref="AB64" r:id="rId2" xr:uid="{00000000-0004-0000-0000-000001000000}"/>
    <hyperlink ref="AB65" r:id="rId3" xr:uid="{00000000-0004-0000-0000-000002000000}"/>
    <hyperlink ref="AB66" r:id="rId4" xr:uid="{00000000-0004-0000-0000-000003000000}"/>
    <hyperlink ref="AB82" r:id="rId5" xr:uid="{00000000-0004-0000-0000-000004000000}"/>
    <hyperlink ref="AB83" r:id="rId6" xr:uid="{00000000-0004-0000-0000-000005000000}"/>
    <hyperlink ref="AB84" r:id="rId7" xr:uid="{00000000-0004-0000-0000-000006000000}"/>
    <hyperlink ref="AB85" r:id="rId8" xr:uid="{00000000-0004-0000-0000-000007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" customWidth="1"/>
    <col min="2" max="2" width="5.42578125" customWidth="1"/>
    <col min="3" max="3" width="6.85546875" customWidth="1"/>
  </cols>
  <sheetData>
    <row r="1" spans="1:3">
      <c r="A1" s="1" t="s">
        <v>17</v>
      </c>
      <c r="B1" s="1" t="s">
        <v>18</v>
      </c>
      <c r="C1" s="1" t="s">
        <v>22</v>
      </c>
    </row>
    <row r="2" spans="1:3">
      <c r="A2" s="3">
        <v>712</v>
      </c>
      <c r="B2" s="3">
        <v>75</v>
      </c>
      <c r="C2" s="3">
        <v>9</v>
      </c>
    </row>
    <row r="3" spans="1:3">
      <c r="A3" s="3">
        <v>734</v>
      </c>
      <c r="B3" s="3">
        <v>71</v>
      </c>
      <c r="C3" s="3">
        <v>9</v>
      </c>
    </row>
    <row r="4" spans="1:3">
      <c r="A4" s="3">
        <v>747</v>
      </c>
      <c r="B4" s="3">
        <v>60</v>
      </c>
      <c r="C4" s="3">
        <v>9</v>
      </c>
    </row>
    <row r="5" spans="1:3">
      <c r="A5" s="3">
        <v>798</v>
      </c>
      <c r="B5" s="3">
        <v>70</v>
      </c>
      <c r="C5" s="3">
        <v>9</v>
      </c>
    </row>
    <row r="6" spans="1:3">
      <c r="A6" s="3">
        <v>890</v>
      </c>
      <c r="B6" s="3">
        <v>140</v>
      </c>
      <c r="C6" s="3">
        <v>9</v>
      </c>
    </row>
    <row r="7" spans="1:3">
      <c r="A7" s="3">
        <v>1046</v>
      </c>
      <c r="B7" s="3">
        <v>128</v>
      </c>
      <c r="C7" s="3">
        <v>9</v>
      </c>
    </row>
    <row r="8" spans="1:3">
      <c r="A8" s="3">
        <v>1116</v>
      </c>
      <c r="B8" s="3">
        <v>103</v>
      </c>
      <c r="C8" s="3">
        <v>9</v>
      </c>
    </row>
    <row r="9" spans="1:3">
      <c r="A9" s="3">
        <v>1285</v>
      </c>
      <c r="B9" s="3">
        <v>58</v>
      </c>
      <c r="C9" s="3">
        <v>9</v>
      </c>
    </row>
    <row r="10" spans="1:3">
      <c r="A10" s="3">
        <v>1411</v>
      </c>
      <c r="B10" s="3">
        <v>60</v>
      </c>
      <c r="C10" s="3">
        <v>9</v>
      </c>
    </row>
    <row r="11" spans="1:3">
      <c r="A11" s="3">
        <v>1492</v>
      </c>
      <c r="B11" s="3">
        <v>98</v>
      </c>
      <c r="C11" s="3">
        <v>9</v>
      </c>
    </row>
    <row r="12" spans="1:3">
      <c r="A12" s="3">
        <v>1516</v>
      </c>
      <c r="B12" s="3">
        <v>132</v>
      </c>
      <c r="C12" s="3">
        <v>9</v>
      </c>
    </row>
    <row r="13" spans="1:3">
      <c r="A13" s="3">
        <v>1795</v>
      </c>
      <c r="B13" s="3">
        <v>183</v>
      </c>
      <c r="C13" s="3">
        <v>9</v>
      </c>
    </row>
    <row r="14" spans="1:3">
      <c r="A14" s="3">
        <v>1878</v>
      </c>
      <c r="B14" s="3">
        <v>67</v>
      </c>
      <c r="C14" s="3">
        <v>9</v>
      </c>
    </row>
    <row r="15" spans="1:3">
      <c r="A15" s="3">
        <v>2089</v>
      </c>
      <c r="B15" s="3">
        <v>113</v>
      </c>
      <c r="C15" s="3">
        <v>9</v>
      </c>
    </row>
    <row r="16" spans="1:3">
      <c r="A16" s="3">
        <v>2302</v>
      </c>
      <c r="B16" s="3">
        <v>190</v>
      </c>
      <c r="C16" s="3">
        <v>9</v>
      </c>
    </row>
    <row r="17" spans="1:3">
      <c r="A17" s="3">
        <v>2987</v>
      </c>
      <c r="B17" s="3">
        <v>132</v>
      </c>
      <c r="C17" s="3">
        <v>9</v>
      </c>
    </row>
    <row r="18" spans="1:3">
      <c r="A18" s="3">
        <v>3115</v>
      </c>
      <c r="B18" s="3">
        <v>164</v>
      </c>
      <c r="C18" s="3">
        <v>9</v>
      </c>
    </row>
    <row r="19" spans="1:3">
      <c r="A19" s="3">
        <v>3399</v>
      </c>
      <c r="B19" s="3">
        <v>75</v>
      </c>
      <c r="C19" s="3">
        <v>9</v>
      </c>
    </row>
    <row r="20" spans="1:3">
      <c r="A20" s="3">
        <v>3468</v>
      </c>
      <c r="B20" s="3">
        <v>94</v>
      </c>
      <c r="C20" s="3">
        <v>9</v>
      </c>
    </row>
    <row r="21" spans="1:3">
      <c r="A21" s="3">
        <v>3747</v>
      </c>
      <c r="B21" s="3">
        <v>102</v>
      </c>
      <c r="C21" s="3">
        <v>9</v>
      </c>
    </row>
    <row r="22" spans="1:3">
      <c r="A22" s="3">
        <v>3749</v>
      </c>
      <c r="B22" s="3">
        <v>121</v>
      </c>
      <c r="C22" s="3">
        <v>9</v>
      </c>
    </row>
    <row r="23" spans="1:3">
      <c r="A23" s="3">
        <v>3753</v>
      </c>
      <c r="B23" s="3">
        <v>90</v>
      </c>
      <c r="C23" s="3">
        <v>9</v>
      </c>
    </row>
    <row r="24" spans="1:3">
      <c r="A24" s="3">
        <v>3926</v>
      </c>
      <c r="B24" s="3">
        <v>130</v>
      </c>
      <c r="C24" s="3">
        <v>9</v>
      </c>
    </row>
    <row r="25" spans="1:3">
      <c r="A25" s="3">
        <v>3953</v>
      </c>
      <c r="B25" s="3">
        <v>123</v>
      </c>
      <c r="C25" s="3">
        <v>9</v>
      </c>
    </row>
    <row r="26" spans="1:3">
      <c r="A26" s="3">
        <v>3980</v>
      </c>
      <c r="B26" s="3">
        <v>109</v>
      </c>
      <c r="C26" s="3">
        <v>9</v>
      </c>
    </row>
    <row r="27" spans="1:3">
      <c r="A27" s="3">
        <v>4051</v>
      </c>
      <c r="B27" s="3">
        <v>126</v>
      </c>
      <c r="C27" s="3">
        <v>9</v>
      </c>
    </row>
    <row r="28" spans="1:3">
      <c r="A28" s="3">
        <v>4064</v>
      </c>
      <c r="B28" s="3">
        <v>120</v>
      </c>
      <c r="C28" s="3">
        <v>9</v>
      </c>
    </row>
    <row r="29" spans="1:3">
      <c r="A29" s="3">
        <v>4230</v>
      </c>
      <c r="B29" s="3">
        <v>104</v>
      </c>
      <c r="C29" s="3">
        <v>9</v>
      </c>
    </row>
    <row r="30" spans="1:3">
      <c r="A30" s="3">
        <v>4266</v>
      </c>
      <c r="B30" s="3">
        <v>111</v>
      </c>
      <c r="C30" s="3">
        <v>9</v>
      </c>
    </row>
    <row r="31" spans="1:3">
      <c r="A31" s="3">
        <v>4486</v>
      </c>
      <c r="B31" s="3">
        <v>95</v>
      </c>
      <c r="C31" s="3">
        <v>9</v>
      </c>
    </row>
    <row r="32" spans="1:3">
      <c r="A32" s="3">
        <v>4521</v>
      </c>
      <c r="B32" s="3">
        <v>138</v>
      </c>
      <c r="C32" s="3">
        <v>9</v>
      </c>
    </row>
    <row r="33" spans="1:3">
      <c r="A33" s="3">
        <v>4544</v>
      </c>
      <c r="B33" s="3">
        <v>310</v>
      </c>
      <c r="C33" s="3">
        <v>9</v>
      </c>
    </row>
    <row r="34" spans="1:3">
      <c r="A34" s="3">
        <v>5004</v>
      </c>
      <c r="B34" s="3">
        <v>115</v>
      </c>
      <c r="C34" s="3">
        <v>9</v>
      </c>
    </row>
    <row r="35" spans="1:3">
      <c r="A35" s="3">
        <v>5054</v>
      </c>
      <c r="B35" s="3">
        <v>133</v>
      </c>
      <c r="C35" s="3">
        <v>9</v>
      </c>
    </row>
    <row r="36" spans="1:3">
      <c r="A36" s="3">
        <v>5206</v>
      </c>
      <c r="B36" s="3">
        <v>153</v>
      </c>
      <c r="C36" s="3">
        <v>9</v>
      </c>
    </row>
    <row r="37" spans="1:3">
      <c r="A37" s="3">
        <v>3736</v>
      </c>
      <c r="B37" s="3">
        <v>84</v>
      </c>
      <c r="C37" s="3">
        <v>10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2" width="9.7109375" customWidth="1"/>
    <col min="3" max="3" width="5.42578125" customWidth="1"/>
    <col min="4" max="4" width="6.7109375" customWidth="1"/>
  </cols>
  <sheetData>
    <row r="1" spans="1:4">
      <c r="A1" s="1" t="s">
        <v>1</v>
      </c>
      <c r="B1" s="1" t="s">
        <v>17</v>
      </c>
      <c r="C1" s="1" t="s">
        <v>18</v>
      </c>
      <c r="D1" s="1" t="s">
        <v>22</v>
      </c>
    </row>
    <row r="2" spans="1:4">
      <c r="A2" s="3" t="s">
        <v>29</v>
      </c>
      <c r="B2" s="3">
        <v>712</v>
      </c>
      <c r="C2" s="3">
        <v>75</v>
      </c>
      <c r="D2" s="3">
        <v>9</v>
      </c>
    </row>
    <row r="3" spans="1:4">
      <c r="A3" s="3" t="s">
        <v>29</v>
      </c>
      <c r="B3" s="3">
        <v>734</v>
      </c>
      <c r="C3" s="3">
        <v>71</v>
      </c>
      <c r="D3" s="3">
        <v>9</v>
      </c>
    </row>
    <row r="4" spans="1:4">
      <c r="A4" s="3" t="s">
        <v>29</v>
      </c>
      <c r="B4" s="3">
        <v>747</v>
      </c>
      <c r="C4" s="3">
        <v>60</v>
      </c>
      <c r="D4" s="3">
        <v>9</v>
      </c>
    </row>
    <row r="5" spans="1:4">
      <c r="A5" s="3" t="s">
        <v>29</v>
      </c>
      <c r="B5" s="3">
        <v>798</v>
      </c>
      <c r="C5" s="3">
        <v>70</v>
      </c>
      <c r="D5" s="3">
        <v>9</v>
      </c>
    </row>
    <row r="6" spans="1:4">
      <c r="A6" s="3" t="s">
        <v>29</v>
      </c>
      <c r="B6" s="3">
        <v>890</v>
      </c>
      <c r="C6" s="3">
        <v>140</v>
      </c>
      <c r="D6" s="3">
        <v>9</v>
      </c>
    </row>
    <row r="7" spans="1:4">
      <c r="A7" s="3" t="s">
        <v>29</v>
      </c>
      <c r="B7" s="3">
        <v>1046</v>
      </c>
      <c r="C7" s="3">
        <v>128</v>
      </c>
      <c r="D7" s="3">
        <v>9</v>
      </c>
    </row>
    <row r="8" spans="1:4">
      <c r="A8" s="3" t="s">
        <v>29</v>
      </c>
      <c r="B8" s="3">
        <v>1116</v>
      </c>
      <c r="C8" s="3">
        <v>103</v>
      </c>
      <c r="D8" s="3">
        <v>9</v>
      </c>
    </row>
    <row r="9" spans="1:4">
      <c r="A9" s="3" t="s">
        <v>29</v>
      </c>
      <c r="B9" s="3">
        <v>1285</v>
      </c>
      <c r="C9" s="3">
        <v>58</v>
      </c>
      <c r="D9" s="3">
        <v>9</v>
      </c>
    </row>
    <row r="10" spans="1:4">
      <c r="A10" s="3" t="s">
        <v>29</v>
      </c>
      <c r="B10" s="3">
        <v>1411</v>
      </c>
      <c r="C10" s="3">
        <v>60</v>
      </c>
      <c r="D10" s="3">
        <v>9</v>
      </c>
    </row>
    <row r="11" spans="1:4">
      <c r="A11" s="3" t="s">
        <v>29</v>
      </c>
      <c r="B11" s="3">
        <v>1492</v>
      </c>
      <c r="C11" s="3">
        <v>98</v>
      </c>
      <c r="D11" s="3">
        <v>9</v>
      </c>
    </row>
    <row r="12" spans="1:4">
      <c r="A12" s="3" t="s">
        <v>29</v>
      </c>
      <c r="B12" s="3">
        <v>1516</v>
      </c>
      <c r="C12" s="3">
        <v>132</v>
      </c>
      <c r="D12" s="3">
        <v>9</v>
      </c>
    </row>
    <row r="13" spans="1:4">
      <c r="A13" s="3" t="s">
        <v>29</v>
      </c>
      <c r="B13" s="3">
        <v>1795</v>
      </c>
      <c r="C13" s="3">
        <v>183</v>
      </c>
      <c r="D13" s="3">
        <v>9</v>
      </c>
    </row>
    <row r="14" spans="1:4">
      <c r="A14" s="3" t="s">
        <v>29</v>
      </c>
      <c r="B14" s="3">
        <v>1878</v>
      </c>
      <c r="C14" s="3">
        <v>67</v>
      </c>
      <c r="D14" s="3">
        <v>9</v>
      </c>
    </row>
    <row r="15" spans="1:4">
      <c r="A15" s="3" t="s">
        <v>29</v>
      </c>
      <c r="B15" s="3">
        <v>2089</v>
      </c>
      <c r="C15" s="3">
        <v>113</v>
      </c>
      <c r="D15" s="3">
        <v>9</v>
      </c>
    </row>
    <row r="16" spans="1:4">
      <c r="A16" s="3" t="s">
        <v>29</v>
      </c>
      <c r="B16" s="3">
        <v>2302</v>
      </c>
      <c r="C16" s="3">
        <v>190</v>
      </c>
      <c r="D16" s="3">
        <v>9</v>
      </c>
    </row>
    <row r="17" spans="1:4">
      <c r="A17" s="3" t="s">
        <v>29</v>
      </c>
      <c r="B17" s="3">
        <v>2987</v>
      </c>
      <c r="C17" s="3">
        <v>132</v>
      </c>
      <c r="D17" s="3">
        <v>9</v>
      </c>
    </row>
    <row r="18" spans="1:4">
      <c r="A18" s="3" t="s">
        <v>29</v>
      </c>
      <c r="B18" s="3">
        <v>3115</v>
      </c>
      <c r="C18" s="3">
        <v>164</v>
      </c>
      <c r="D18" s="3">
        <v>9</v>
      </c>
    </row>
    <row r="19" spans="1:4">
      <c r="A19" s="3" t="s">
        <v>29</v>
      </c>
      <c r="B19" s="3">
        <v>3399</v>
      </c>
      <c r="C19" s="3">
        <v>75</v>
      </c>
      <c r="D19" s="3">
        <v>9</v>
      </c>
    </row>
    <row r="20" spans="1:4">
      <c r="A20" s="3" t="s">
        <v>29</v>
      </c>
      <c r="B20" s="3">
        <v>3468</v>
      </c>
      <c r="C20" s="3">
        <v>94</v>
      </c>
      <c r="D20" s="3">
        <v>9</v>
      </c>
    </row>
    <row r="21" spans="1:4">
      <c r="A21" s="3" t="s">
        <v>29</v>
      </c>
      <c r="B21" s="3">
        <v>3747</v>
      </c>
      <c r="C21" s="3">
        <v>102</v>
      </c>
      <c r="D21" s="3">
        <v>9</v>
      </c>
    </row>
    <row r="22" spans="1:4">
      <c r="A22" s="3" t="s">
        <v>29</v>
      </c>
      <c r="B22" s="3">
        <v>3749</v>
      </c>
      <c r="C22" s="3">
        <v>121</v>
      </c>
      <c r="D22" s="3">
        <v>9</v>
      </c>
    </row>
    <row r="23" spans="1:4">
      <c r="A23" s="3" t="s">
        <v>29</v>
      </c>
      <c r="B23" s="3">
        <v>3753</v>
      </c>
      <c r="C23" s="3">
        <v>90</v>
      </c>
      <c r="D23" s="3">
        <v>9</v>
      </c>
    </row>
    <row r="24" spans="1:4">
      <c r="A24" s="3" t="s">
        <v>249</v>
      </c>
      <c r="B24" s="3">
        <v>3792</v>
      </c>
      <c r="C24" s="3">
        <v>116</v>
      </c>
      <c r="D24" s="3">
        <v>9</v>
      </c>
    </row>
    <row r="25" spans="1:4">
      <c r="A25" s="3" t="s">
        <v>29</v>
      </c>
      <c r="B25" s="3">
        <v>3926</v>
      </c>
      <c r="C25" s="3">
        <v>130</v>
      </c>
      <c r="D25" s="3">
        <v>9</v>
      </c>
    </row>
    <row r="26" spans="1:4">
      <c r="A26" s="3" t="s">
        <v>29</v>
      </c>
      <c r="B26" s="3">
        <v>3953</v>
      </c>
      <c r="C26" s="3">
        <v>123</v>
      </c>
      <c r="D26" s="3">
        <v>9</v>
      </c>
    </row>
    <row r="27" spans="1:4">
      <c r="A27" s="3" t="s">
        <v>29</v>
      </c>
      <c r="B27" s="3">
        <v>3980</v>
      </c>
      <c r="C27" s="3">
        <v>109</v>
      </c>
      <c r="D27" s="3">
        <v>9</v>
      </c>
    </row>
    <row r="28" spans="1:4">
      <c r="A28" s="3" t="s">
        <v>29</v>
      </c>
      <c r="B28" s="3">
        <v>4051</v>
      </c>
      <c r="C28" s="3">
        <v>126</v>
      </c>
      <c r="D28" s="3">
        <v>9</v>
      </c>
    </row>
    <row r="29" spans="1:4">
      <c r="A29" s="3" t="s">
        <v>29</v>
      </c>
      <c r="B29" s="3">
        <v>4064</v>
      </c>
      <c r="C29" s="3">
        <v>120</v>
      </c>
      <c r="D29" s="3">
        <v>9</v>
      </c>
    </row>
    <row r="30" spans="1:4">
      <c r="A30" s="3" t="s">
        <v>29</v>
      </c>
      <c r="B30" s="3">
        <v>4230</v>
      </c>
      <c r="C30" s="3">
        <v>104</v>
      </c>
      <c r="D30" s="3">
        <v>9</v>
      </c>
    </row>
    <row r="31" spans="1:4">
      <c r="A31" s="3" t="s">
        <v>29</v>
      </c>
      <c r="B31" s="3">
        <v>4266</v>
      </c>
      <c r="C31" s="3">
        <v>111</v>
      </c>
      <c r="D31" s="3">
        <v>9</v>
      </c>
    </row>
    <row r="32" spans="1:4">
      <c r="A32" s="3" t="s">
        <v>29</v>
      </c>
      <c r="B32" s="3">
        <v>4486</v>
      </c>
      <c r="C32" s="3">
        <v>95</v>
      </c>
      <c r="D32" s="3">
        <v>9</v>
      </c>
    </row>
    <row r="33" spans="1:4">
      <c r="A33" s="3" t="s">
        <v>29</v>
      </c>
      <c r="B33" s="3">
        <v>4521</v>
      </c>
      <c r="C33" s="3">
        <v>138</v>
      </c>
      <c r="D33" s="3">
        <v>9</v>
      </c>
    </row>
    <row r="34" spans="1:4">
      <c r="A34" s="3" t="s">
        <v>29</v>
      </c>
      <c r="B34" s="3">
        <v>4544</v>
      </c>
      <c r="C34" s="3">
        <v>310</v>
      </c>
      <c r="D34" s="3">
        <v>9</v>
      </c>
    </row>
    <row r="35" spans="1:4">
      <c r="A35" s="3" t="s">
        <v>29</v>
      </c>
      <c r="B35" s="3">
        <v>5004</v>
      </c>
      <c r="C35" s="3">
        <v>115</v>
      </c>
      <c r="D35" s="3">
        <v>9</v>
      </c>
    </row>
    <row r="36" spans="1:4">
      <c r="A36" s="3" t="s">
        <v>29</v>
      </c>
      <c r="B36" s="3">
        <v>5054</v>
      </c>
      <c r="C36" s="3">
        <v>133</v>
      </c>
      <c r="D36" s="3">
        <v>9</v>
      </c>
    </row>
    <row r="37" spans="1:4">
      <c r="A37" s="3" t="s">
        <v>29</v>
      </c>
      <c r="B37" s="3">
        <v>5206</v>
      </c>
      <c r="C37" s="3">
        <v>153</v>
      </c>
      <c r="D37" s="3">
        <v>9</v>
      </c>
    </row>
    <row r="38" spans="1:4">
      <c r="A38" s="3" t="s">
        <v>50</v>
      </c>
      <c r="B38" s="3">
        <v>9625</v>
      </c>
      <c r="C38" s="3">
        <v>127</v>
      </c>
      <c r="D38" s="3">
        <v>9</v>
      </c>
    </row>
    <row r="39" spans="1:4">
      <c r="A39" s="3" t="s">
        <v>50</v>
      </c>
      <c r="B39" s="3">
        <v>9724</v>
      </c>
      <c r="C39" s="3">
        <v>157</v>
      </c>
      <c r="D39" s="3">
        <v>9</v>
      </c>
    </row>
    <row r="40" spans="1:4">
      <c r="A40" s="3" t="s">
        <v>123</v>
      </c>
      <c r="B40" s="3">
        <v>1423</v>
      </c>
      <c r="C40" s="3">
        <v>85</v>
      </c>
      <c r="D40" s="3">
        <v>10</v>
      </c>
    </row>
    <row r="41" spans="1:4">
      <c r="A41" s="3" t="s">
        <v>123</v>
      </c>
      <c r="B41" s="3">
        <v>1810</v>
      </c>
      <c r="C41" s="3">
        <v>111</v>
      </c>
      <c r="D41" s="3">
        <v>10</v>
      </c>
    </row>
    <row r="42" spans="1:4">
      <c r="A42" s="3" t="s">
        <v>29</v>
      </c>
      <c r="B42" s="3">
        <v>3736</v>
      </c>
      <c r="C42" s="3">
        <v>84</v>
      </c>
      <c r="D42" s="3">
        <v>10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8.7109375" customWidth="1"/>
    <col min="2" max="2" width="10" customWidth="1"/>
    <col min="3" max="3" width="4.85546875" customWidth="1"/>
    <col min="4" max="4" width="6.42578125" customWidth="1"/>
  </cols>
  <sheetData>
    <row r="1" spans="1:4">
      <c r="A1" s="1" t="s">
        <v>1</v>
      </c>
      <c r="B1" s="1" t="s">
        <v>17</v>
      </c>
      <c r="C1" s="1" t="s">
        <v>18</v>
      </c>
      <c r="D1" s="1" t="s">
        <v>22</v>
      </c>
    </row>
    <row r="2" spans="1:4">
      <c r="A2" s="3" t="s">
        <v>165</v>
      </c>
      <c r="B2" s="3">
        <v>1813</v>
      </c>
      <c r="C2" s="3">
        <v>185</v>
      </c>
      <c r="D2" s="3">
        <v>9</v>
      </c>
    </row>
    <row r="3" spans="1:4">
      <c r="A3" s="3" t="s">
        <v>317</v>
      </c>
      <c r="B3" s="3">
        <v>5318</v>
      </c>
      <c r="C3" s="3">
        <v>105</v>
      </c>
      <c r="D3" s="3">
        <v>9</v>
      </c>
    </row>
    <row r="4" spans="1:4">
      <c r="A4" s="3" t="s">
        <v>317</v>
      </c>
      <c r="B4" s="3">
        <v>5401</v>
      </c>
      <c r="C4" s="3">
        <v>61</v>
      </c>
      <c r="D4" s="3">
        <v>9</v>
      </c>
    </row>
    <row r="5" spans="1:4">
      <c r="A5" s="3" t="s">
        <v>317</v>
      </c>
      <c r="B5" s="3">
        <v>5647</v>
      </c>
      <c r="C5" s="3">
        <v>94</v>
      </c>
      <c r="D5" s="3">
        <v>9</v>
      </c>
    </row>
    <row r="6" spans="1:4">
      <c r="A6" s="3" t="s">
        <v>317</v>
      </c>
      <c r="B6" s="3">
        <v>5692</v>
      </c>
      <c r="C6" s="3">
        <v>47</v>
      </c>
      <c r="D6" s="3">
        <v>9</v>
      </c>
    </row>
    <row r="7" spans="1:4">
      <c r="A7" s="3" t="s">
        <v>317</v>
      </c>
      <c r="B7" s="3">
        <v>5773</v>
      </c>
      <c r="C7" s="3">
        <v>71</v>
      </c>
      <c r="D7" s="3">
        <v>9</v>
      </c>
    </row>
    <row r="8" spans="1:4">
      <c r="A8" s="3" t="s">
        <v>317</v>
      </c>
      <c r="B8" s="3">
        <v>5786</v>
      </c>
      <c r="C8" s="3">
        <v>69</v>
      </c>
      <c r="D8" s="3">
        <v>9</v>
      </c>
    </row>
    <row r="9" spans="1:4">
      <c r="A9" s="3" t="s">
        <v>317</v>
      </c>
      <c r="B9" s="3">
        <v>5955</v>
      </c>
      <c r="C9" s="3">
        <v>28</v>
      </c>
      <c r="D9" s="3">
        <v>9</v>
      </c>
    </row>
    <row r="10" spans="1:4">
      <c r="A10" s="3" t="s">
        <v>227</v>
      </c>
      <c r="B10" s="3">
        <v>3493</v>
      </c>
      <c r="C10" s="3">
        <v>59</v>
      </c>
      <c r="D10" s="3">
        <v>11</v>
      </c>
    </row>
    <row r="11" spans="1:4">
      <c r="A11" s="3" t="s">
        <v>227</v>
      </c>
      <c r="B11" s="3">
        <v>3624</v>
      </c>
      <c r="C11" s="3">
        <v>96</v>
      </c>
      <c r="D11" s="3">
        <v>11</v>
      </c>
    </row>
    <row r="12" spans="1:4">
      <c r="A12" s="3" t="s">
        <v>227</v>
      </c>
      <c r="B12" s="3">
        <v>3633</v>
      </c>
      <c r="C12" s="3">
        <v>87</v>
      </c>
      <c r="D12" s="3">
        <v>11</v>
      </c>
    </row>
    <row r="13" spans="1:4">
      <c r="A13" s="3" t="s">
        <v>227</v>
      </c>
      <c r="B13" s="3">
        <v>4026</v>
      </c>
      <c r="C13" s="3">
        <v>185</v>
      </c>
      <c r="D13" s="3">
        <v>11</v>
      </c>
    </row>
    <row r="14" spans="1:4">
      <c r="A14" s="3" t="s">
        <v>227</v>
      </c>
      <c r="B14" s="3">
        <v>4160</v>
      </c>
      <c r="C14" s="3">
        <v>154</v>
      </c>
      <c r="D14" s="3">
        <v>11</v>
      </c>
    </row>
    <row r="15" spans="1:4">
      <c r="A15" s="3" t="s">
        <v>227</v>
      </c>
      <c r="B15" s="3">
        <v>4732</v>
      </c>
      <c r="C15" s="3">
        <v>315</v>
      </c>
      <c r="D15" s="3">
        <v>11</v>
      </c>
    </row>
    <row r="16" spans="1:4">
      <c r="A16" s="3" t="s">
        <v>227</v>
      </c>
      <c r="B16" s="3">
        <v>4760</v>
      </c>
      <c r="C16" s="3">
        <v>155</v>
      </c>
      <c r="D16" s="3">
        <v>11</v>
      </c>
    </row>
    <row r="17" spans="1:4">
      <c r="A17" s="3" t="s">
        <v>227</v>
      </c>
      <c r="B17" s="3">
        <v>5076</v>
      </c>
      <c r="C17" s="3">
        <v>134</v>
      </c>
      <c r="D17" s="3">
        <v>11</v>
      </c>
    </row>
    <row r="18" spans="1:4">
      <c r="A18" s="3" t="s">
        <v>227</v>
      </c>
      <c r="B18" s="3">
        <v>5122</v>
      </c>
      <c r="C18" s="3">
        <v>131</v>
      </c>
      <c r="D18" s="3">
        <v>11</v>
      </c>
    </row>
    <row r="19" spans="1:4">
      <c r="A19" s="7" t="s">
        <v>78</v>
      </c>
      <c r="B19" s="3">
        <v>771</v>
      </c>
      <c r="C19" s="3">
        <v>93</v>
      </c>
      <c r="D19" s="3">
        <v>13</v>
      </c>
    </row>
    <row r="20" spans="1:4">
      <c r="A20" s="3" t="s">
        <v>218</v>
      </c>
      <c r="B20" s="3">
        <v>3371</v>
      </c>
      <c r="C20" s="3">
        <v>146</v>
      </c>
      <c r="D20" s="3">
        <v>13</v>
      </c>
    </row>
    <row r="21" spans="1:4">
      <c r="A21" s="3" t="s">
        <v>262</v>
      </c>
      <c r="B21" s="3">
        <v>4050</v>
      </c>
      <c r="C21" s="3">
        <v>283</v>
      </c>
      <c r="D21" s="3">
        <v>13</v>
      </c>
    </row>
    <row r="22" spans="1:4">
      <c r="A22" s="3" t="s">
        <v>274</v>
      </c>
      <c r="B22" s="3">
        <v>4244</v>
      </c>
      <c r="C22" s="3">
        <v>145</v>
      </c>
      <c r="D22" s="3">
        <v>13</v>
      </c>
    </row>
    <row r="23" spans="1:4">
      <c r="A23" s="3" t="s">
        <v>372</v>
      </c>
      <c r="B23" s="3">
        <v>6928</v>
      </c>
      <c r="C23" s="3">
        <v>167</v>
      </c>
      <c r="D23" s="3">
        <v>13</v>
      </c>
    </row>
    <row r="24" spans="1:4">
      <c r="A24" s="3" t="s">
        <v>402</v>
      </c>
      <c r="B24" s="3">
        <v>7902</v>
      </c>
      <c r="C24" s="3">
        <v>187</v>
      </c>
      <c r="D24" s="3">
        <v>13</v>
      </c>
    </row>
    <row r="25" spans="1:4">
      <c r="A25" s="3" t="s">
        <v>402</v>
      </c>
      <c r="B25" s="3">
        <v>8283</v>
      </c>
      <c r="C25" s="3">
        <v>180</v>
      </c>
      <c r="D25" s="3">
        <v>13</v>
      </c>
    </row>
    <row r="26" spans="1:4">
      <c r="A26" s="3" t="s">
        <v>403</v>
      </c>
      <c r="B26" s="3">
        <v>8512</v>
      </c>
      <c r="C26" s="3">
        <v>176</v>
      </c>
      <c r="D26" s="3">
        <v>13</v>
      </c>
    </row>
    <row r="27" spans="1:4">
      <c r="A27" s="3" t="s">
        <v>402</v>
      </c>
      <c r="B27" s="3">
        <v>8524</v>
      </c>
      <c r="C27" s="3">
        <v>286</v>
      </c>
      <c r="D27" s="3">
        <v>13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7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1.5703125" customWidth="1"/>
    <col min="2" max="2" width="9.7109375" customWidth="1"/>
    <col min="3" max="3" width="6" customWidth="1"/>
    <col min="4" max="4" width="6.7109375" customWidth="1"/>
  </cols>
  <sheetData>
    <row r="1" spans="1:4">
      <c r="A1" s="1" t="s">
        <v>404</v>
      </c>
      <c r="B1" s="1" t="s">
        <v>17</v>
      </c>
      <c r="C1" s="1" t="s">
        <v>18</v>
      </c>
      <c r="D1" s="1" t="s">
        <v>22</v>
      </c>
    </row>
    <row r="2" spans="1:4">
      <c r="A2" s="3" t="s">
        <v>405</v>
      </c>
      <c r="B2" s="3">
        <v>5749</v>
      </c>
      <c r="C2" s="3">
        <v>219</v>
      </c>
      <c r="D2" s="3">
        <v>3</v>
      </c>
    </row>
    <row r="3" spans="1:4">
      <c r="A3" s="3" t="s">
        <v>405</v>
      </c>
      <c r="B3" s="3">
        <v>6135</v>
      </c>
      <c r="C3" s="3">
        <v>209</v>
      </c>
      <c r="D3" s="3">
        <v>4</v>
      </c>
    </row>
    <row r="4" spans="1:4">
      <c r="A4" s="3" t="s">
        <v>405</v>
      </c>
      <c r="B4" s="3">
        <v>1439</v>
      </c>
      <c r="C4" s="3">
        <v>97</v>
      </c>
      <c r="D4" s="3">
        <v>5</v>
      </c>
    </row>
    <row r="5" spans="1:4">
      <c r="A5" s="3" t="s">
        <v>405</v>
      </c>
      <c r="B5" s="3">
        <v>1439</v>
      </c>
      <c r="C5" s="3">
        <v>97</v>
      </c>
      <c r="D5" s="3">
        <v>5</v>
      </c>
    </row>
    <row r="6" spans="1:4">
      <c r="A6" s="3" t="s">
        <v>405</v>
      </c>
      <c r="B6" s="3">
        <v>1561</v>
      </c>
      <c r="C6" s="3">
        <v>107</v>
      </c>
      <c r="D6" s="3">
        <v>5</v>
      </c>
    </row>
    <row r="7" spans="1:4">
      <c r="A7" s="3" t="s">
        <v>405</v>
      </c>
      <c r="B7" s="3">
        <v>1613</v>
      </c>
      <c r="C7" s="3">
        <v>108</v>
      </c>
      <c r="D7" s="3">
        <v>5</v>
      </c>
    </row>
    <row r="8" spans="1:4">
      <c r="A8" s="3" t="s">
        <v>406</v>
      </c>
      <c r="B8" s="3">
        <v>3135</v>
      </c>
      <c r="C8" s="3">
        <v>144</v>
      </c>
      <c r="D8" s="3">
        <v>5</v>
      </c>
    </row>
    <row r="9" spans="1:4">
      <c r="A9" s="3" t="s">
        <v>406</v>
      </c>
      <c r="B9" s="3">
        <v>1033</v>
      </c>
      <c r="C9" s="3">
        <v>110</v>
      </c>
      <c r="D9" s="3">
        <v>6</v>
      </c>
    </row>
    <row r="10" spans="1:4">
      <c r="A10" s="3" t="s">
        <v>406</v>
      </c>
      <c r="B10" s="3">
        <v>1128</v>
      </c>
      <c r="C10" s="3">
        <v>121</v>
      </c>
      <c r="D10" s="3">
        <v>6</v>
      </c>
    </row>
    <row r="11" spans="1:4">
      <c r="A11" s="3" t="s">
        <v>406</v>
      </c>
      <c r="B11" s="3">
        <v>124</v>
      </c>
      <c r="C11" s="3">
        <v>86</v>
      </c>
      <c r="D11" s="3">
        <v>6</v>
      </c>
    </row>
    <row r="12" spans="1:4">
      <c r="A12" s="3" t="s">
        <v>406</v>
      </c>
      <c r="B12" s="3">
        <v>1603</v>
      </c>
      <c r="C12" s="3">
        <v>108</v>
      </c>
      <c r="D12" s="3">
        <v>6</v>
      </c>
    </row>
    <row r="13" spans="1:4">
      <c r="A13" s="3" t="s">
        <v>406</v>
      </c>
      <c r="B13" s="3">
        <v>2112</v>
      </c>
      <c r="C13" s="3">
        <v>131</v>
      </c>
      <c r="D13" s="3">
        <v>6</v>
      </c>
    </row>
    <row r="14" spans="1:4">
      <c r="A14" s="3" t="s">
        <v>406</v>
      </c>
      <c r="B14" s="3">
        <v>2166</v>
      </c>
      <c r="C14" s="3">
        <v>140</v>
      </c>
      <c r="D14" s="3">
        <v>6</v>
      </c>
    </row>
    <row r="15" spans="1:4">
      <c r="A15" s="3" t="s">
        <v>406</v>
      </c>
      <c r="B15" s="3">
        <v>3020</v>
      </c>
      <c r="C15" s="3">
        <v>138</v>
      </c>
      <c r="D15" s="3">
        <v>6</v>
      </c>
    </row>
    <row r="16" spans="1:4">
      <c r="A16" s="3" t="s">
        <v>406</v>
      </c>
      <c r="B16" s="3">
        <v>3233</v>
      </c>
      <c r="C16" s="3">
        <v>137</v>
      </c>
      <c r="D16" s="3">
        <v>6</v>
      </c>
    </row>
    <row r="17" spans="1:4">
      <c r="A17" s="3" t="s">
        <v>406</v>
      </c>
      <c r="B17" s="3">
        <v>3503</v>
      </c>
      <c r="C17" s="3">
        <v>121</v>
      </c>
      <c r="D17" s="3">
        <v>6</v>
      </c>
    </row>
    <row r="18" spans="1:4">
      <c r="A18" s="3" t="s">
        <v>406</v>
      </c>
      <c r="B18" s="3">
        <v>3557</v>
      </c>
      <c r="C18" s="3">
        <v>127</v>
      </c>
      <c r="D18" s="3">
        <v>6</v>
      </c>
    </row>
    <row r="19" spans="1:4">
      <c r="A19" s="3" t="s">
        <v>406</v>
      </c>
      <c r="B19" s="3">
        <v>3600</v>
      </c>
      <c r="C19" s="3">
        <v>139</v>
      </c>
      <c r="D19" s="3">
        <v>6</v>
      </c>
    </row>
    <row r="20" spans="1:4">
      <c r="A20" s="3" t="s">
        <v>406</v>
      </c>
      <c r="B20" s="3">
        <v>3650</v>
      </c>
      <c r="C20" s="3">
        <v>141</v>
      </c>
      <c r="D20" s="3">
        <v>6</v>
      </c>
    </row>
    <row r="21" spans="1:4">
      <c r="A21" s="3" t="s">
        <v>406</v>
      </c>
      <c r="B21" s="3">
        <v>4108</v>
      </c>
      <c r="C21" s="3">
        <v>159</v>
      </c>
      <c r="D21" s="3">
        <v>6</v>
      </c>
    </row>
    <row r="22" spans="1:4">
      <c r="A22" s="3" t="s">
        <v>406</v>
      </c>
      <c r="B22" s="3">
        <v>1875</v>
      </c>
      <c r="C22" s="3">
        <v>93</v>
      </c>
      <c r="D22" s="3">
        <v>6</v>
      </c>
    </row>
    <row r="23" spans="1:4">
      <c r="A23" s="3" t="s">
        <v>405</v>
      </c>
      <c r="B23" s="3">
        <v>7392</v>
      </c>
      <c r="C23" s="3">
        <v>205</v>
      </c>
      <c r="D23" s="3">
        <v>4</v>
      </c>
    </row>
    <row r="24" spans="1:4">
      <c r="A24" s="3" t="s">
        <v>405</v>
      </c>
      <c r="B24" s="3">
        <v>5852</v>
      </c>
      <c r="C24" s="3">
        <v>111</v>
      </c>
      <c r="D24" s="3">
        <v>3</v>
      </c>
    </row>
    <row r="25" spans="1:4">
      <c r="A25" s="3" t="s">
        <v>405</v>
      </c>
      <c r="B25" s="3">
        <v>2062</v>
      </c>
      <c r="C25" s="3">
        <v>83</v>
      </c>
      <c r="D25" s="3">
        <v>4</v>
      </c>
    </row>
    <row r="26" spans="1:4">
      <c r="A26" s="3" t="s">
        <v>406</v>
      </c>
      <c r="B26" s="3">
        <v>1286</v>
      </c>
      <c r="C26" s="3">
        <v>47</v>
      </c>
      <c r="D26" s="3">
        <v>4</v>
      </c>
    </row>
    <row r="27" spans="1:4">
      <c r="A27" s="3" t="s">
        <v>406</v>
      </c>
      <c r="B27" s="3">
        <v>1119</v>
      </c>
      <c r="C27" s="3">
        <v>32</v>
      </c>
      <c r="D27" s="3">
        <v>4</v>
      </c>
    </row>
    <row r="28" spans="1:4">
      <c r="A28" s="3" t="s">
        <v>406</v>
      </c>
      <c r="B28" s="3">
        <v>2823</v>
      </c>
      <c r="C28" s="3">
        <v>56</v>
      </c>
      <c r="D28" s="3">
        <v>5</v>
      </c>
    </row>
    <row r="29" spans="1:4">
      <c r="A29" s="3" t="s">
        <v>406</v>
      </c>
      <c r="B29" s="3">
        <v>3315</v>
      </c>
      <c r="C29" s="3">
        <v>79</v>
      </c>
      <c r="D29" s="3">
        <v>5</v>
      </c>
    </row>
    <row r="30" spans="1:4">
      <c r="A30" s="3" t="s">
        <v>406</v>
      </c>
      <c r="B30" s="3">
        <v>4351</v>
      </c>
      <c r="C30" s="3">
        <v>48</v>
      </c>
      <c r="D30" s="3">
        <v>6</v>
      </c>
    </row>
    <row r="31" spans="1:4">
      <c r="A31" s="3" t="s">
        <v>406</v>
      </c>
      <c r="B31" s="3">
        <v>2011</v>
      </c>
      <c r="C31" s="3">
        <v>36</v>
      </c>
      <c r="D31" s="3">
        <v>6</v>
      </c>
    </row>
    <row r="32" spans="1:4">
      <c r="A32" s="3" t="s">
        <v>406</v>
      </c>
      <c r="B32" s="3">
        <v>2044</v>
      </c>
      <c r="C32" s="3">
        <v>33</v>
      </c>
      <c r="D32" s="3">
        <v>6</v>
      </c>
    </row>
    <row r="33" spans="1:4">
      <c r="A33" s="3" t="s">
        <v>406</v>
      </c>
      <c r="B33" s="3">
        <v>2054</v>
      </c>
      <c r="C33" s="3">
        <v>34</v>
      </c>
      <c r="D33" s="3">
        <v>6</v>
      </c>
    </row>
    <row r="34" spans="1:4">
      <c r="A34" s="3" t="s">
        <v>406</v>
      </c>
      <c r="B34" s="3">
        <v>2060</v>
      </c>
      <c r="C34" s="3">
        <v>40</v>
      </c>
      <c r="D34" s="3">
        <v>6</v>
      </c>
    </row>
    <row r="35" spans="1:4">
      <c r="A35" s="3" t="s">
        <v>406</v>
      </c>
      <c r="B35" s="3">
        <v>2201</v>
      </c>
      <c r="C35" s="3">
        <v>73</v>
      </c>
      <c r="D35" s="3">
        <v>6</v>
      </c>
    </row>
    <row r="36" spans="1:4">
      <c r="A36" s="3" t="s">
        <v>406</v>
      </c>
      <c r="B36" s="3">
        <v>2430</v>
      </c>
      <c r="C36" s="3">
        <v>62</v>
      </c>
      <c r="D36" s="3">
        <v>6</v>
      </c>
    </row>
    <row r="37" spans="1:4">
      <c r="A37" s="3" t="s">
        <v>405</v>
      </c>
      <c r="B37" s="3">
        <v>7901</v>
      </c>
      <c r="C37" s="3">
        <v>115</v>
      </c>
      <c r="D37" s="3">
        <v>7</v>
      </c>
    </row>
    <row r="38" spans="1:4">
      <c r="A38" s="3" t="s">
        <v>405</v>
      </c>
      <c r="B38" s="3">
        <v>8121</v>
      </c>
      <c r="C38" s="3">
        <v>122</v>
      </c>
      <c r="D38" s="3">
        <v>7</v>
      </c>
    </row>
    <row r="39" spans="1:4">
      <c r="A39" s="3" t="s">
        <v>405</v>
      </c>
      <c r="B39" s="3">
        <v>8259</v>
      </c>
      <c r="C39" s="3">
        <v>105</v>
      </c>
      <c r="D39" s="3">
        <v>7</v>
      </c>
    </row>
    <row r="40" spans="1:4">
      <c r="A40" s="3" t="s">
        <v>405</v>
      </c>
      <c r="B40" s="3">
        <v>9338</v>
      </c>
      <c r="C40" s="3">
        <v>170</v>
      </c>
      <c r="D40" s="3">
        <v>7</v>
      </c>
    </row>
    <row r="41" spans="1:4">
      <c r="A41" s="3" t="s">
        <v>406</v>
      </c>
      <c r="B41" s="3">
        <v>672</v>
      </c>
      <c r="C41" s="3">
        <v>91</v>
      </c>
      <c r="D41" s="3">
        <v>7</v>
      </c>
    </row>
    <row r="42" spans="1:4">
      <c r="A42" s="3" t="s">
        <v>406</v>
      </c>
      <c r="B42" s="3">
        <v>708</v>
      </c>
      <c r="C42" s="3">
        <v>64</v>
      </c>
      <c r="D42" s="3">
        <v>7</v>
      </c>
    </row>
    <row r="43" spans="1:4">
      <c r="A43" s="3" t="s">
        <v>406</v>
      </c>
      <c r="B43" s="3">
        <v>799</v>
      </c>
      <c r="C43" s="3">
        <v>72</v>
      </c>
      <c r="D43" s="3">
        <v>7</v>
      </c>
    </row>
    <row r="44" spans="1:4">
      <c r="A44" s="3" t="s">
        <v>406</v>
      </c>
      <c r="B44" s="3">
        <v>1716</v>
      </c>
      <c r="C44" s="3">
        <v>120</v>
      </c>
      <c r="D44" s="3">
        <v>7</v>
      </c>
    </row>
    <row r="45" spans="1:4">
      <c r="A45" s="3" t="s">
        <v>406</v>
      </c>
      <c r="B45" s="3">
        <v>3792</v>
      </c>
      <c r="C45" s="3">
        <v>111</v>
      </c>
      <c r="D45" s="3">
        <v>7</v>
      </c>
    </row>
    <row r="46" spans="1:4">
      <c r="A46" s="3" t="s">
        <v>406</v>
      </c>
      <c r="B46" s="3">
        <v>581</v>
      </c>
      <c r="C46" s="3">
        <v>54</v>
      </c>
      <c r="D46" s="3">
        <v>7</v>
      </c>
    </row>
    <row r="47" spans="1:4">
      <c r="A47" s="3" t="s">
        <v>405</v>
      </c>
      <c r="B47" s="3">
        <v>4660</v>
      </c>
      <c r="C47" s="3">
        <v>111</v>
      </c>
      <c r="D47" s="3">
        <v>8</v>
      </c>
    </row>
    <row r="48" spans="1:4">
      <c r="A48" s="3" t="s">
        <v>405</v>
      </c>
      <c r="B48" s="3">
        <v>4709</v>
      </c>
      <c r="C48" s="3">
        <v>100</v>
      </c>
      <c r="D48" s="3">
        <v>8</v>
      </c>
    </row>
    <row r="49" spans="1:4">
      <c r="A49" s="3" t="s">
        <v>405</v>
      </c>
      <c r="B49" s="3">
        <v>4715</v>
      </c>
      <c r="C49" s="3">
        <v>144</v>
      </c>
      <c r="D49" s="3">
        <v>8</v>
      </c>
    </row>
    <row r="50" spans="1:4">
      <c r="A50" s="3" t="s">
        <v>405</v>
      </c>
      <c r="B50" s="3">
        <v>4807</v>
      </c>
      <c r="C50" s="3">
        <v>125</v>
      </c>
      <c r="D50" s="3">
        <v>8</v>
      </c>
    </row>
    <row r="51" spans="1:4">
      <c r="A51" s="3" t="s">
        <v>405</v>
      </c>
      <c r="B51" s="3">
        <v>4822</v>
      </c>
      <c r="C51" s="3">
        <v>174</v>
      </c>
      <c r="D51" s="3">
        <v>8</v>
      </c>
    </row>
    <row r="52" spans="1:4">
      <c r="A52" s="3" t="s">
        <v>405</v>
      </c>
      <c r="B52" s="3">
        <v>4851</v>
      </c>
      <c r="C52" s="3">
        <v>129</v>
      </c>
      <c r="D52" s="3">
        <v>8</v>
      </c>
    </row>
    <row r="53" spans="1:4">
      <c r="A53" s="3" t="s">
        <v>405</v>
      </c>
      <c r="B53" s="3">
        <v>4895</v>
      </c>
      <c r="C53" s="3">
        <v>128</v>
      </c>
      <c r="D53" s="3">
        <v>8</v>
      </c>
    </row>
    <row r="54" spans="1:4">
      <c r="A54" s="3" t="s">
        <v>405</v>
      </c>
      <c r="B54" s="3">
        <v>4973</v>
      </c>
      <c r="C54" s="3">
        <v>149</v>
      </c>
      <c r="D54" s="3">
        <v>8</v>
      </c>
    </row>
    <row r="55" spans="1:4">
      <c r="A55" s="3" t="s">
        <v>405</v>
      </c>
      <c r="B55" s="3">
        <v>5063</v>
      </c>
      <c r="C55" s="3">
        <v>172</v>
      </c>
      <c r="D55" s="3">
        <v>8</v>
      </c>
    </row>
    <row r="56" spans="1:4">
      <c r="A56" s="3" t="s">
        <v>405</v>
      </c>
      <c r="B56" s="3">
        <v>5083</v>
      </c>
      <c r="C56" s="3">
        <v>142</v>
      </c>
      <c r="D56" s="3">
        <v>8</v>
      </c>
    </row>
    <row r="57" spans="1:4">
      <c r="A57" s="3" t="s">
        <v>405</v>
      </c>
      <c r="B57" s="3">
        <v>5108</v>
      </c>
      <c r="C57" s="3">
        <v>142</v>
      </c>
      <c r="D57" s="3">
        <v>8</v>
      </c>
    </row>
    <row r="58" spans="1:4">
      <c r="A58" s="3" t="s">
        <v>405</v>
      </c>
      <c r="B58" s="3">
        <v>5137</v>
      </c>
      <c r="C58" s="3">
        <v>129</v>
      </c>
      <c r="D58" s="3">
        <v>8</v>
      </c>
    </row>
    <row r="59" spans="1:4">
      <c r="A59" s="3" t="s">
        <v>405</v>
      </c>
      <c r="B59" s="3">
        <v>5149</v>
      </c>
      <c r="C59" s="3">
        <v>153</v>
      </c>
      <c r="D59" s="3">
        <v>8</v>
      </c>
    </row>
    <row r="60" spans="1:4">
      <c r="A60" s="3" t="s">
        <v>405</v>
      </c>
      <c r="B60" s="3">
        <v>5165</v>
      </c>
      <c r="C60" s="3">
        <v>179</v>
      </c>
      <c r="D60" s="3">
        <v>8</v>
      </c>
    </row>
    <row r="61" spans="1:4">
      <c r="A61" s="3" t="s">
        <v>405</v>
      </c>
      <c r="B61" s="3">
        <v>5171</v>
      </c>
      <c r="C61" s="3">
        <v>156</v>
      </c>
      <c r="D61" s="3">
        <v>8</v>
      </c>
    </row>
    <row r="62" spans="1:4">
      <c r="A62" s="3" t="s">
        <v>405</v>
      </c>
      <c r="B62" s="3">
        <v>5191</v>
      </c>
      <c r="C62" s="3">
        <v>144</v>
      </c>
      <c r="D62" s="3">
        <v>8</v>
      </c>
    </row>
    <row r="63" spans="1:4">
      <c r="A63" s="3" t="s">
        <v>405</v>
      </c>
      <c r="B63" s="3">
        <v>5194</v>
      </c>
      <c r="C63" s="3">
        <v>159</v>
      </c>
      <c r="D63" s="3">
        <v>8</v>
      </c>
    </row>
    <row r="64" spans="1:4">
      <c r="A64" s="3" t="s">
        <v>405</v>
      </c>
      <c r="B64" s="3">
        <v>5288</v>
      </c>
      <c r="C64" s="3">
        <v>171</v>
      </c>
      <c r="D64" s="3">
        <v>8</v>
      </c>
    </row>
    <row r="65" spans="1:4">
      <c r="A65" s="3" t="s">
        <v>405</v>
      </c>
      <c r="B65" s="3">
        <v>5439</v>
      </c>
      <c r="C65" s="3">
        <v>96</v>
      </c>
      <c r="D65" s="3">
        <v>8</v>
      </c>
    </row>
    <row r="66" spans="1:4">
      <c r="A66" s="3" t="s">
        <v>405</v>
      </c>
      <c r="B66" s="3">
        <v>5451</v>
      </c>
      <c r="C66" s="3">
        <v>113</v>
      </c>
      <c r="D66" s="3">
        <v>8</v>
      </c>
    </row>
    <row r="67" spans="1:4">
      <c r="A67" s="3" t="s">
        <v>405</v>
      </c>
      <c r="B67" s="3">
        <v>5466</v>
      </c>
      <c r="C67" s="3">
        <v>138</v>
      </c>
      <c r="D67" s="3">
        <v>8</v>
      </c>
    </row>
    <row r="68" spans="1:4">
      <c r="A68" s="3" t="s">
        <v>405</v>
      </c>
      <c r="B68" s="3">
        <v>5486</v>
      </c>
      <c r="C68" s="3">
        <v>92</v>
      </c>
      <c r="D68" s="3">
        <v>8</v>
      </c>
    </row>
    <row r="69" spans="1:4">
      <c r="A69" s="3" t="s">
        <v>405</v>
      </c>
      <c r="B69" s="3">
        <v>5531</v>
      </c>
      <c r="C69" s="3">
        <v>117</v>
      </c>
      <c r="D69" s="3">
        <v>8</v>
      </c>
    </row>
    <row r="70" spans="1:4">
      <c r="A70" s="3" t="s">
        <v>405</v>
      </c>
      <c r="B70" s="3">
        <v>5595</v>
      </c>
      <c r="C70" s="3">
        <v>96</v>
      </c>
      <c r="D70" s="3">
        <v>8</v>
      </c>
    </row>
    <row r="71" spans="1:4">
      <c r="A71" s="3" t="s">
        <v>405</v>
      </c>
      <c r="B71" s="3">
        <v>5600</v>
      </c>
      <c r="C71" s="3">
        <v>124</v>
      </c>
      <c r="D71" s="3">
        <v>8</v>
      </c>
    </row>
    <row r="72" spans="1:4">
      <c r="A72" s="3" t="s">
        <v>405</v>
      </c>
      <c r="B72" s="3">
        <v>5629</v>
      </c>
      <c r="C72" s="3">
        <v>123</v>
      </c>
      <c r="D72" s="3">
        <v>8</v>
      </c>
    </row>
    <row r="73" spans="1:4">
      <c r="A73" s="3" t="s">
        <v>405</v>
      </c>
      <c r="B73" s="3">
        <v>5656</v>
      </c>
      <c r="C73" s="3">
        <v>112</v>
      </c>
      <c r="D73" s="3">
        <v>8</v>
      </c>
    </row>
    <row r="74" spans="1:4">
      <c r="A74" s="3" t="s">
        <v>405</v>
      </c>
      <c r="B74" s="3">
        <v>5710</v>
      </c>
      <c r="C74" s="3">
        <v>97</v>
      </c>
      <c r="D74" s="3">
        <v>8</v>
      </c>
    </row>
    <row r="75" spans="1:4">
      <c r="A75" s="3" t="s">
        <v>405</v>
      </c>
      <c r="B75" s="3">
        <v>5768</v>
      </c>
      <c r="C75" s="3">
        <v>146</v>
      </c>
      <c r="D75" s="3">
        <v>8</v>
      </c>
    </row>
    <row r="76" spans="1:4">
      <c r="A76" s="3" t="s">
        <v>405</v>
      </c>
      <c r="B76" s="3">
        <v>8011</v>
      </c>
      <c r="C76" s="3">
        <v>131</v>
      </c>
      <c r="D76" s="3">
        <v>8</v>
      </c>
    </row>
    <row r="77" spans="1:4">
      <c r="A77" s="3" t="s">
        <v>406</v>
      </c>
      <c r="B77" s="3">
        <v>413</v>
      </c>
      <c r="C77" s="3">
        <v>62</v>
      </c>
      <c r="D77" s="3">
        <v>8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7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9.85546875" customWidth="1"/>
    <col min="3" max="3" width="6" customWidth="1"/>
    <col min="4" max="4" width="6.5703125" customWidth="1"/>
  </cols>
  <sheetData>
    <row r="1" spans="1:4">
      <c r="A1" s="1" t="s">
        <v>404</v>
      </c>
      <c r="B1" s="1" t="s">
        <v>17</v>
      </c>
      <c r="C1" s="1" t="s">
        <v>18</v>
      </c>
      <c r="D1" s="1" t="s">
        <v>22</v>
      </c>
    </row>
    <row r="2" spans="1:4">
      <c r="A2" s="3" t="s">
        <v>405</v>
      </c>
      <c r="B2" s="3">
        <v>771</v>
      </c>
      <c r="C2" s="3">
        <v>93</v>
      </c>
      <c r="D2" s="3">
        <v>13</v>
      </c>
    </row>
    <row r="3" spans="1:4">
      <c r="A3" s="3" t="s">
        <v>405</v>
      </c>
      <c r="B3" s="3">
        <v>3371</v>
      </c>
      <c r="C3" s="3">
        <v>146</v>
      </c>
      <c r="D3" s="3">
        <v>13</v>
      </c>
    </row>
    <row r="4" spans="1:4">
      <c r="A4" s="3" t="s">
        <v>405</v>
      </c>
      <c r="B4" s="3">
        <v>4050</v>
      </c>
      <c r="C4" s="3">
        <v>283</v>
      </c>
      <c r="D4" s="3">
        <v>13</v>
      </c>
    </row>
    <row r="5" spans="1:4">
      <c r="A5" s="3" t="s">
        <v>405</v>
      </c>
      <c r="B5" s="3">
        <v>4244</v>
      </c>
      <c r="C5" s="3">
        <v>145</v>
      </c>
      <c r="D5" s="3">
        <v>13</v>
      </c>
    </row>
    <row r="6" spans="1:4">
      <c r="A6" s="3" t="s">
        <v>405</v>
      </c>
      <c r="B6" s="3">
        <v>5318</v>
      </c>
      <c r="C6" s="3">
        <v>105</v>
      </c>
      <c r="D6" s="3">
        <v>9</v>
      </c>
    </row>
    <row r="7" spans="1:4">
      <c r="A7" s="3" t="s">
        <v>405</v>
      </c>
      <c r="B7" s="3">
        <v>5647</v>
      </c>
      <c r="C7" s="3">
        <v>94</v>
      </c>
      <c r="D7" s="3">
        <v>9</v>
      </c>
    </row>
    <row r="8" spans="1:4">
      <c r="A8" s="3" t="s">
        <v>405</v>
      </c>
      <c r="B8" s="3">
        <v>6928</v>
      </c>
      <c r="C8" s="3">
        <v>167</v>
      </c>
      <c r="D8" s="3">
        <v>13</v>
      </c>
    </row>
    <row r="9" spans="1:4">
      <c r="A9" s="3" t="s">
        <v>405</v>
      </c>
      <c r="B9" s="3">
        <v>7902</v>
      </c>
      <c r="C9" s="3">
        <v>187</v>
      </c>
      <c r="D9" s="3">
        <v>13</v>
      </c>
    </row>
    <row r="10" spans="1:4">
      <c r="A10" s="3" t="s">
        <v>405</v>
      </c>
      <c r="B10" s="3">
        <v>8283</v>
      </c>
      <c r="C10" s="3">
        <v>180</v>
      </c>
      <c r="D10" s="3">
        <v>13</v>
      </c>
    </row>
    <row r="11" spans="1:4">
      <c r="A11" s="3" t="s">
        <v>405</v>
      </c>
      <c r="B11" s="3">
        <v>8512</v>
      </c>
      <c r="C11" s="3">
        <v>176</v>
      </c>
      <c r="D11" s="3">
        <v>13</v>
      </c>
    </row>
    <row r="12" spans="1:4">
      <c r="A12" s="3" t="s">
        <v>405</v>
      </c>
      <c r="B12" s="3">
        <v>8524</v>
      </c>
      <c r="C12" s="3">
        <v>286</v>
      </c>
      <c r="D12" s="3">
        <v>13</v>
      </c>
    </row>
    <row r="13" spans="1:4">
      <c r="A13" s="3" t="s">
        <v>406</v>
      </c>
      <c r="B13" s="3">
        <v>1516</v>
      </c>
      <c r="C13" s="3">
        <v>132</v>
      </c>
      <c r="D13" s="3">
        <v>9</v>
      </c>
    </row>
    <row r="14" spans="1:4">
      <c r="A14" s="3" t="s">
        <v>406</v>
      </c>
      <c r="B14" s="3">
        <v>3115</v>
      </c>
      <c r="C14" s="3">
        <v>164</v>
      </c>
      <c r="D14" s="3">
        <v>9</v>
      </c>
    </row>
    <row r="15" spans="1:4">
      <c r="A15" s="3" t="s">
        <v>405</v>
      </c>
      <c r="B15" s="3">
        <v>1813</v>
      </c>
      <c r="C15" s="3">
        <v>185</v>
      </c>
      <c r="D15" s="3">
        <v>9</v>
      </c>
    </row>
    <row r="16" spans="1:4">
      <c r="A16" s="3" t="s">
        <v>405</v>
      </c>
      <c r="B16" s="3">
        <v>3493</v>
      </c>
      <c r="C16" s="3">
        <v>59</v>
      </c>
      <c r="D16" s="3">
        <v>11</v>
      </c>
    </row>
    <row r="17" spans="1:4">
      <c r="A17" s="3" t="s">
        <v>405</v>
      </c>
      <c r="B17" s="3">
        <v>3624</v>
      </c>
      <c r="C17" s="3">
        <v>96</v>
      </c>
      <c r="D17" s="3">
        <v>11</v>
      </c>
    </row>
    <row r="18" spans="1:4">
      <c r="A18" s="3" t="s">
        <v>405</v>
      </c>
      <c r="B18" s="3">
        <v>3633</v>
      </c>
      <c r="C18" s="3">
        <v>87</v>
      </c>
      <c r="D18" s="3">
        <v>11</v>
      </c>
    </row>
    <row r="19" spans="1:4">
      <c r="A19" s="3" t="s">
        <v>405</v>
      </c>
      <c r="B19" s="3">
        <v>4026</v>
      </c>
      <c r="C19" s="3">
        <v>185</v>
      </c>
      <c r="D19" s="3">
        <v>11</v>
      </c>
    </row>
    <row r="20" spans="1:4">
      <c r="A20" s="3" t="s">
        <v>405</v>
      </c>
      <c r="B20" s="3">
        <v>4160</v>
      </c>
      <c r="C20" s="3">
        <v>154</v>
      </c>
      <c r="D20" s="3">
        <v>11</v>
      </c>
    </row>
    <row r="21" spans="1:4">
      <c r="A21" s="3" t="s">
        <v>405</v>
      </c>
      <c r="B21" s="3">
        <v>4732</v>
      </c>
      <c r="C21" s="3">
        <v>315</v>
      </c>
      <c r="D21" s="3">
        <v>11</v>
      </c>
    </row>
    <row r="22" spans="1:4">
      <c r="A22" s="3" t="s">
        <v>405</v>
      </c>
      <c r="B22" s="3">
        <v>4760</v>
      </c>
      <c r="C22" s="3">
        <v>155</v>
      </c>
      <c r="D22" s="3">
        <v>11</v>
      </c>
    </row>
    <row r="23" spans="1:4">
      <c r="A23" s="3" t="s">
        <v>405</v>
      </c>
      <c r="B23" s="3">
        <v>5076</v>
      </c>
      <c r="C23" s="3">
        <v>134</v>
      </c>
      <c r="D23" s="3">
        <v>11</v>
      </c>
    </row>
    <row r="24" spans="1:4">
      <c r="A24" s="3" t="s">
        <v>405</v>
      </c>
      <c r="B24" s="3">
        <v>5122</v>
      </c>
      <c r="C24" s="3">
        <v>131</v>
      </c>
      <c r="D24" s="3">
        <v>11</v>
      </c>
    </row>
    <row r="25" spans="1:4">
      <c r="A25" s="3" t="s">
        <v>405</v>
      </c>
      <c r="B25" s="3">
        <v>5401</v>
      </c>
      <c r="C25" s="3">
        <v>61</v>
      </c>
      <c r="D25" s="3">
        <v>9</v>
      </c>
    </row>
    <row r="26" spans="1:4">
      <c r="A26" s="3" t="s">
        <v>405</v>
      </c>
      <c r="B26" s="3">
        <v>5692</v>
      </c>
      <c r="C26" s="3">
        <v>47</v>
      </c>
      <c r="D26" s="3">
        <v>9</v>
      </c>
    </row>
    <row r="27" spans="1:4">
      <c r="A27" s="3" t="s">
        <v>405</v>
      </c>
      <c r="B27" s="3">
        <v>5773</v>
      </c>
      <c r="C27" s="3">
        <v>71</v>
      </c>
      <c r="D27" s="3">
        <v>9</v>
      </c>
    </row>
    <row r="28" spans="1:4">
      <c r="A28" s="3" t="s">
        <v>405</v>
      </c>
      <c r="B28" s="3">
        <v>5786</v>
      </c>
      <c r="C28" s="3">
        <v>69</v>
      </c>
      <c r="D28" s="3">
        <v>9</v>
      </c>
    </row>
    <row r="29" spans="1:4">
      <c r="A29" s="3" t="s">
        <v>405</v>
      </c>
      <c r="B29" s="3">
        <v>5955</v>
      </c>
      <c r="C29" s="3">
        <v>28</v>
      </c>
      <c r="D29" s="3">
        <v>9</v>
      </c>
    </row>
    <row r="30" spans="1:4">
      <c r="A30" s="3" t="s">
        <v>406</v>
      </c>
      <c r="B30" s="3">
        <v>712</v>
      </c>
      <c r="C30" s="3">
        <v>75</v>
      </c>
      <c r="D30" s="3">
        <v>9</v>
      </c>
    </row>
    <row r="31" spans="1:4">
      <c r="A31" s="3" t="s">
        <v>406</v>
      </c>
      <c r="B31" s="3">
        <v>734</v>
      </c>
      <c r="C31" s="3">
        <v>71</v>
      </c>
      <c r="D31" s="3">
        <v>9</v>
      </c>
    </row>
    <row r="32" spans="1:4">
      <c r="A32" s="3" t="s">
        <v>406</v>
      </c>
      <c r="B32" s="3">
        <v>747</v>
      </c>
      <c r="C32" s="3">
        <v>60</v>
      </c>
      <c r="D32" s="3">
        <v>9</v>
      </c>
    </row>
    <row r="33" spans="1:4">
      <c r="A33" s="3" t="s">
        <v>406</v>
      </c>
      <c r="B33" s="3">
        <v>798</v>
      </c>
      <c r="C33" s="3">
        <v>70</v>
      </c>
      <c r="D33" s="3">
        <v>9</v>
      </c>
    </row>
    <row r="34" spans="1:4">
      <c r="A34" s="3" t="s">
        <v>406</v>
      </c>
      <c r="B34" s="3">
        <v>890</v>
      </c>
      <c r="C34" s="3">
        <v>140</v>
      </c>
      <c r="D34" s="3">
        <v>9</v>
      </c>
    </row>
    <row r="35" spans="1:4">
      <c r="A35" s="3" t="s">
        <v>406</v>
      </c>
      <c r="B35" s="3">
        <v>1046</v>
      </c>
      <c r="C35" s="3">
        <v>128</v>
      </c>
      <c r="D35" s="3">
        <v>9</v>
      </c>
    </row>
    <row r="36" spans="1:4">
      <c r="A36" s="3" t="s">
        <v>406</v>
      </c>
      <c r="B36" s="3">
        <v>1116</v>
      </c>
      <c r="C36" s="3">
        <v>103</v>
      </c>
      <c r="D36" s="3">
        <v>9</v>
      </c>
    </row>
    <row r="37" spans="1:4">
      <c r="A37" s="3" t="s">
        <v>406</v>
      </c>
      <c r="B37" s="3">
        <v>1285</v>
      </c>
      <c r="C37" s="3">
        <v>58</v>
      </c>
      <c r="D37" s="3">
        <v>9</v>
      </c>
    </row>
    <row r="38" spans="1:4">
      <c r="A38" s="3" t="s">
        <v>406</v>
      </c>
      <c r="B38" s="3">
        <v>1411</v>
      </c>
      <c r="C38" s="3">
        <v>60</v>
      </c>
      <c r="D38" s="3">
        <v>9</v>
      </c>
    </row>
    <row r="39" spans="1:4">
      <c r="A39" s="3" t="s">
        <v>406</v>
      </c>
      <c r="B39" s="3">
        <v>1423</v>
      </c>
      <c r="C39" s="3">
        <v>85</v>
      </c>
      <c r="D39" s="3">
        <v>10</v>
      </c>
    </row>
    <row r="40" spans="1:4">
      <c r="A40" s="3" t="s">
        <v>406</v>
      </c>
      <c r="B40" s="3">
        <v>1492</v>
      </c>
      <c r="C40" s="3">
        <v>98</v>
      </c>
      <c r="D40" s="3">
        <v>9</v>
      </c>
    </row>
    <row r="41" spans="1:4">
      <c r="A41" s="3" t="s">
        <v>406</v>
      </c>
      <c r="B41" s="3">
        <v>1795</v>
      </c>
      <c r="C41" s="3">
        <v>183</v>
      </c>
      <c r="D41" s="3">
        <v>9</v>
      </c>
    </row>
    <row r="42" spans="1:4">
      <c r="A42" s="3" t="s">
        <v>406</v>
      </c>
      <c r="B42" s="3">
        <v>1810</v>
      </c>
      <c r="C42" s="3">
        <v>111</v>
      </c>
      <c r="D42" s="3">
        <v>10</v>
      </c>
    </row>
    <row r="43" spans="1:4">
      <c r="A43" s="3" t="s">
        <v>406</v>
      </c>
      <c r="B43" s="3">
        <v>1878</v>
      </c>
      <c r="C43" s="3">
        <v>67</v>
      </c>
      <c r="D43" s="3">
        <v>9</v>
      </c>
    </row>
    <row r="44" spans="1:4">
      <c r="A44" s="3" t="s">
        <v>406</v>
      </c>
      <c r="B44" s="3">
        <v>2089</v>
      </c>
      <c r="C44" s="3">
        <v>113</v>
      </c>
      <c r="D44" s="3">
        <v>9</v>
      </c>
    </row>
    <row r="45" spans="1:4">
      <c r="A45" s="3" t="s">
        <v>406</v>
      </c>
      <c r="B45" s="3">
        <v>2302</v>
      </c>
      <c r="C45" s="3">
        <v>190</v>
      </c>
      <c r="D45" s="3">
        <v>9</v>
      </c>
    </row>
    <row r="46" spans="1:4">
      <c r="A46" s="3" t="s">
        <v>406</v>
      </c>
      <c r="B46" s="3">
        <v>2987</v>
      </c>
      <c r="C46" s="3">
        <v>132</v>
      </c>
      <c r="D46" s="3">
        <v>9</v>
      </c>
    </row>
    <row r="47" spans="1:4">
      <c r="A47" s="3" t="s">
        <v>406</v>
      </c>
      <c r="B47" s="3">
        <v>3399</v>
      </c>
      <c r="C47" s="3">
        <v>75</v>
      </c>
      <c r="D47" s="3">
        <v>9</v>
      </c>
    </row>
    <row r="48" spans="1:4">
      <c r="A48" s="3" t="s">
        <v>406</v>
      </c>
      <c r="B48" s="3">
        <v>3468</v>
      </c>
      <c r="C48" s="3">
        <v>94</v>
      </c>
      <c r="D48" s="3">
        <v>9</v>
      </c>
    </row>
    <row r="49" spans="1:4">
      <c r="A49" s="3" t="s">
        <v>406</v>
      </c>
      <c r="B49" s="3">
        <v>3736</v>
      </c>
      <c r="C49" s="3">
        <v>84</v>
      </c>
      <c r="D49" s="3">
        <v>10</v>
      </c>
    </row>
    <row r="50" spans="1:4">
      <c r="A50" s="3" t="s">
        <v>406</v>
      </c>
      <c r="B50" s="3">
        <v>3747</v>
      </c>
      <c r="C50" s="3">
        <v>102</v>
      </c>
      <c r="D50" s="3">
        <v>9</v>
      </c>
    </row>
    <row r="51" spans="1:4">
      <c r="A51" s="3" t="s">
        <v>406</v>
      </c>
      <c r="B51" s="3">
        <v>3749</v>
      </c>
      <c r="C51" s="3">
        <v>121</v>
      </c>
      <c r="D51" s="3">
        <v>9</v>
      </c>
    </row>
    <row r="52" spans="1:4">
      <c r="A52" s="3" t="s">
        <v>406</v>
      </c>
      <c r="B52" s="3">
        <v>3753</v>
      </c>
      <c r="C52" s="3">
        <v>90</v>
      </c>
      <c r="D52" s="3">
        <v>9</v>
      </c>
    </row>
    <row r="53" spans="1:4">
      <c r="A53" s="3" t="s">
        <v>406</v>
      </c>
      <c r="B53" s="3">
        <v>3792</v>
      </c>
      <c r="C53" s="3">
        <v>116</v>
      </c>
      <c r="D53" s="3">
        <v>9</v>
      </c>
    </row>
    <row r="54" spans="1:4">
      <c r="A54" s="3" t="s">
        <v>406</v>
      </c>
      <c r="B54" s="3">
        <v>3926</v>
      </c>
      <c r="C54" s="3">
        <v>130</v>
      </c>
      <c r="D54" s="3">
        <v>9</v>
      </c>
    </row>
    <row r="55" spans="1:4">
      <c r="A55" s="3" t="s">
        <v>406</v>
      </c>
      <c r="B55" s="3">
        <v>3953</v>
      </c>
      <c r="C55" s="3">
        <v>123</v>
      </c>
      <c r="D55" s="3">
        <v>9</v>
      </c>
    </row>
    <row r="56" spans="1:4">
      <c r="A56" s="3" t="s">
        <v>406</v>
      </c>
      <c r="B56" s="3">
        <v>3980</v>
      </c>
      <c r="C56" s="3">
        <v>109</v>
      </c>
      <c r="D56" s="3">
        <v>9</v>
      </c>
    </row>
    <row r="57" spans="1:4">
      <c r="A57" s="3" t="s">
        <v>406</v>
      </c>
      <c r="B57" s="3">
        <v>4051</v>
      </c>
      <c r="C57" s="3">
        <v>126</v>
      </c>
      <c r="D57" s="3">
        <v>9</v>
      </c>
    </row>
    <row r="58" spans="1:4">
      <c r="A58" s="3" t="s">
        <v>406</v>
      </c>
      <c r="B58" s="3">
        <v>4064</v>
      </c>
      <c r="C58" s="3">
        <v>120</v>
      </c>
      <c r="D58" s="3">
        <v>9</v>
      </c>
    </row>
    <row r="59" spans="1:4">
      <c r="A59" s="3" t="s">
        <v>406</v>
      </c>
      <c r="B59" s="3">
        <v>4230</v>
      </c>
      <c r="C59" s="3">
        <v>104</v>
      </c>
      <c r="D59" s="3">
        <v>9</v>
      </c>
    </row>
    <row r="60" spans="1:4">
      <c r="A60" s="3" t="s">
        <v>406</v>
      </c>
      <c r="B60" s="3">
        <v>4266</v>
      </c>
      <c r="C60" s="3">
        <v>111</v>
      </c>
      <c r="D60" s="3">
        <v>9</v>
      </c>
    </row>
    <row r="61" spans="1:4">
      <c r="A61" s="3" t="s">
        <v>406</v>
      </c>
      <c r="B61" s="3">
        <v>4486</v>
      </c>
      <c r="C61" s="3">
        <v>95</v>
      </c>
      <c r="D61" s="3">
        <v>9</v>
      </c>
    </row>
    <row r="62" spans="1:4">
      <c r="A62" s="3" t="s">
        <v>406</v>
      </c>
      <c r="B62" s="3">
        <v>4521</v>
      </c>
      <c r="C62" s="3">
        <v>138</v>
      </c>
      <c r="D62" s="3">
        <v>9</v>
      </c>
    </row>
    <row r="63" spans="1:4">
      <c r="A63" s="3" t="s">
        <v>406</v>
      </c>
      <c r="B63" s="3">
        <v>4544</v>
      </c>
      <c r="C63" s="3">
        <v>310</v>
      </c>
      <c r="D63" s="3">
        <v>9</v>
      </c>
    </row>
    <row r="64" spans="1:4">
      <c r="A64" s="3" t="s">
        <v>406</v>
      </c>
      <c r="B64" s="3">
        <v>5004</v>
      </c>
      <c r="C64" s="3">
        <v>115</v>
      </c>
      <c r="D64" s="3">
        <v>9</v>
      </c>
    </row>
    <row r="65" spans="1:4">
      <c r="A65" s="3" t="s">
        <v>406</v>
      </c>
      <c r="B65" s="3">
        <v>5054</v>
      </c>
      <c r="C65" s="3">
        <v>133</v>
      </c>
      <c r="D65" s="3">
        <v>9</v>
      </c>
    </row>
    <row r="66" spans="1:4">
      <c r="A66" s="3" t="s">
        <v>406</v>
      </c>
      <c r="B66" s="3">
        <v>5206</v>
      </c>
      <c r="C66" s="3">
        <v>153</v>
      </c>
      <c r="D66" s="3">
        <v>9</v>
      </c>
    </row>
    <row r="67" spans="1:4">
      <c r="A67" s="3" t="s">
        <v>406</v>
      </c>
      <c r="B67" s="3">
        <v>9625</v>
      </c>
      <c r="C67" s="3">
        <v>127</v>
      </c>
      <c r="D67" s="3">
        <v>9</v>
      </c>
    </row>
    <row r="68" spans="1:4">
      <c r="A68" s="3" t="s">
        <v>406</v>
      </c>
      <c r="B68" s="3">
        <v>9724</v>
      </c>
      <c r="C68" s="3">
        <v>157</v>
      </c>
      <c r="D68" s="3">
        <v>9</v>
      </c>
    </row>
    <row r="69" spans="1:4">
      <c r="A69" s="10"/>
      <c r="B69" s="3"/>
      <c r="C69" s="3"/>
      <c r="D69" s="3"/>
    </row>
    <row r="70" spans="1:4">
      <c r="A70" s="10"/>
      <c r="B70" s="3"/>
      <c r="C70" s="3"/>
      <c r="D70" s="10"/>
    </row>
    <row r="71" spans="1:4">
      <c r="A71" s="10"/>
      <c r="B71" s="10"/>
      <c r="C71" s="10"/>
      <c r="D71" s="10"/>
    </row>
    <row r="72" spans="1:4">
      <c r="A72" s="10"/>
      <c r="B72" s="10"/>
      <c r="C72" s="10"/>
      <c r="D72" s="10"/>
    </row>
    <row r="73" spans="1:4">
      <c r="A73" s="10"/>
      <c r="B73" s="10"/>
      <c r="C73" s="10"/>
      <c r="D73" s="10"/>
    </row>
    <row r="74" spans="1:4">
      <c r="A74" s="10"/>
      <c r="B74" s="10"/>
      <c r="C74" s="10"/>
      <c r="D74" s="10"/>
    </row>
    <row r="75" spans="1:4">
      <c r="A75" s="10"/>
      <c r="B75" s="10"/>
      <c r="C75" s="10"/>
      <c r="D75" s="10"/>
    </row>
    <row r="76" spans="1:4">
      <c r="A76" s="10"/>
      <c r="B76" s="10"/>
      <c r="C76" s="10"/>
      <c r="D76" s="10"/>
    </row>
    <row r="77" spans="1:4">
      <c r="A77" s="10"/>
      <c r="B77" s="10"/>
      <c r="C77" s="10"/>
      <c r="D77" s="10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9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10" customWidth="1"/>
    <col min="3" max="3" width="5.7109375" customWidth="1"/>
  </cols>
  <sheetData>
    <row r="1" spans="1:3">
      <c r="A1" s="14" t="s">
        <v>1</v>
      </c>
      <c r="B1" s="1" t="s">
        <v>17</v>
      </c>
      <c r="C1" s="1" t="s">
        <v>18</v>
      </c>
    </row>
    <row r="2" spans="1:3">
      <c r="A2" s="8" t="s">
        <v>84</v>
      </c>
      <c r="B2" s="8">
        <v>3860</v>
      </c>
      <c r="C2" s="8">
        <v>589</v>
      </c>
    </row>
    <row r="3" spans="1:3">
      <c r="A3" s="8" t="s">
        <v>84</v>
      </c>
      <c r="B3" s="8">
        <v>4404</v>
      </c>
      <c r="C3" s="8">
        <v>141</v>
      </c>
    </row>
    <row r="4" spans="1:3">
      <c r="A4" s="8" t="s">
        <v>84</v>
      </c>
      <c r="B4" s="8">
        <v>338</v>
      </c>
      <c r="C4" s="8">
        <v>575</v>
      </c>
    </row>
    <row r="5" spans="1:3">
      <c r="A5" s="8" t="s">
        <v>84</v>
      </c>
      <c r="B5" s="8">
        <v>3680</v>
      </c>
      <c r="C5" s="8">
        <v>108</v>
      </c>
    </row>
    <row r="6" spans="1:3">
      <c r="A6" s="8" t="s">
        <v>84</v>
      </c>
      <c r="B6" s="8">
        <v>2622</v>
      </c>
      <c r="C6" s="8">
        <v>88</v>
      </c>
    </row>
    <row r="7" spans="1:3">
      <c r="A7" s="8" t="s">
        <v>84</v>
      </c>
      <c r="B7" s="8">
        <v>3595</v>
      </c>
      <c r="C7" s="8">
        <v>75</v>
      </c>
    </row>
    <row r="8" spans="1:3">
      <c r="A8" s="8" t="s">
        <v>84</v>
      </c>
      <c r="B8" s="8">
        <v>5455</v>
      </c>
      <c r="C8" s="8">
        <v>356</v>
      </c>
    </row>
    <row r="9" spans="1:3">
      <c r="A9" s="8" t="s">
        <v>84</v>
      </c>
      <c r="B9" s="8">
        <v>2564</v>
      </c>
      <c r="C9" s="8">
        <v>332</v>
      </c>
    </row>
    <row r="10" spans="1:3">
      <c r="A10" s="8" t="s">
        <v>84</v>
      </c>
      <c r="B10" s="8">
        <v>4692</v>
      </c>
      <c r="C10" s="8">
        <v>350</v>
      </c>
    </row>
    <row r="11" spans="1:3">
      <c r="A11" s="8" t="s">
        <v>84</v>
      </c>
      <c r="B11" s="8">
        <v>3833</v>
      </c>
      <c r="C11" s="8">
        <v>276</v>
      </c>
    </row>
    <row r="12" spans="1:3">
      <c r="A12" s="8" t="s">
        <v>407</v>
      </c>
      <c r="B12" s="8">
        <v>9885</v>
      </c>
      <c r="C12" s="8">
        <v>618</v>
      </c>
    </row>
    <row r="13" spans="1:3">
      <c r="A13" s="8" t="s">
        <v>407</v>
      </c>
      <c r="B13" s="8">
        <v>7619</v>
      </c>
      <c r="C13" s="8">
        <v>541</v>
      </c>
    </row>
    <row r="14" spans="1:3">
      <c r="A14" s="8" t="s">
        <v>407</v>
      </c>
      <c r="B14" s="8">
        <v>5865</v>
      </c>
      <c r="C14" s="8">
        <v>75</v>
      </c>
    </row>
    <row r="15" spans="1:3">
      <c r="A15" s="8" t="s">
        <v>407</v>
      </c>
      <c r="B15" s="8">
        <v>5726</v>
      </c>
      <c r="C15" s="8">
        <v>91</v>
      </c>
    </row>
    <row r="16" spans="1:3">
      <c r="A16" s="8" t="s">
        <v>407</v>
      </c>
      <c r="B16" s="8">
        <v>5785</v>
      </c>
      <c r="C16" s="8">
        <v>228</v>
      </c>
    </row>
    <row r="17" spans="1:3">
      <c r="A17" s="8" t="s">
        <v>407</v>
      </c>
      <c r="B17" s="8">
        <v>5510</v>
      </c>
      <c r="C17" s="8">
        <v>198</v>
      </c>
    </row>
    <row r="18" spans="1:3">
      <c r="A18" s="8" t="s">
        <v>407</v>
      </c>
      <c r="B18" s="8">
        <v>5476</v>
      </c>
      <c r="C18" s="8">
        <v>79</v>
      </c>
    </row>
    <row r="19" spans="1:3">
      <c r="A19" s="8" t="s">
        <v>407</v>
      </c>
      <c r="B19" s="8">
        <v>5344</v>
      </c>
      <c r="C19" s="8">
        <v>61</v>
      </c>
    </row>
    <row r="20" spans="1:3">
      <c r="A20" s="8" t="s">
        <v>407</v>
      </c>
      <c r="B20" s="8">
        <v>5100</v>
      </c>
      <c r="C20" s="8">
        <v>115</v>
      </c>
    </row>
    <row r="21" spans="1:3">
      <c r="A21" s="8" t="s">
        <v>407</v>
      </c>
      <c r="B21" s="8">
        <v>4885</v>
      </c>
      <c r="C21" s="8">
        <v>76</v>
      </c>
    </row>
    <row r="22" spans="1:3">
      <c r="A22" s="8" t="s">
        <v>408</v>
      </c>
      <c r="B22" s="8">
        <v>3551</v>
      </c>
      <c r="C22" s="8">
        <v>51</v>
      </c>
    </row>
    <row r="23" spans="1:3">
      <c r="A23" s="8" t="s">
        <v>408</v>
      </c>
      <c r="B23" s="8">
        <v>4233</v>
      </c>
      <c r="C23" s="8">
        <v>71</v>
      </c>
    </row>
    <row r="24" spans="1:3">
      <c r="A24" s="8" t="s">
        <v>408</v>
      </c>
      <c r="B24" s="8">
        <v>5108</v>
      </c>
      <c r="C24" s="8">
        <v>114</v>
      </c>
    </row>
    <row r="25" spans="1:3">
      <c r="A25" s="8" t="s">
        <v>409</v>
      </c>
      <c r="B25" s="8">
        <v>1430</v>
      </c>
      <c r="C25" s="8">
        <v>55</v>
      </c>
    </row>
    <row r="26" spans="1:3">
      <c r="A26" s="8" t="s">
        <v>409</v>
      </c>
      <c r="B26" s="3">
        <v>747</v>
      </c>
      <c r="C26" s="3">
        <v>60</v>
      </c>
    </row>
    <row r="27" spans="1:3">
      <c r="A27" s="8" t="s">
        <v>409</v>
      </c>
      <c r="B27" s="8">
        <v>1603</v>
      </c>
      <c r="C27" s="8">
        <v>108</v>
      </c>
    </row>
    <row r="28" spans="1:3">
      <c r="A28" s="8" t="s">
        <v>409</v>
      </c>
      <c r="B28" s="8">
        <v>1795</v>
      </c>
      <c r="C28" s="8">
        <v>183</v>
      </c>
    </row>
    <row r="29" spans="1:3">
      <c r="A29" s="8" t="s">
        <v>410</v>
      </c>
      <c r="B29" s="3">
        <v>413</v>
      </c>
      <c r="C29" s="3">
        <v>62</v>
      </c>
    </row>
    <row r="30" spans="1:3">
      <c r="A30" s="8" t="s">
        <v>410</v>
      </c>
      <c r="B30" s="3">
        <v>672</v>
      </c>
      <c r="C30" s="3">
        <v>91</v>
      </c>
    </row>
    <row r="31" spans="1:3">
      <c r="A31" s="8" t="s">
        <v>410</v>
      </c>
      <c r="B31" s="3">
        <v>708</v>
      </c>
      <c r="C31" s="3">
        <v>64</v>
      </c>
    </row>
    <row r="32" spans="1:3">
      <c r="A32" s="8" t="s">
        <v>410</v>
      </c>
      <c r="B32" s="3">
        <v>799</v>
      </c>
      <c r="C32" s="3">
        <v>72</v>
      </c>
    </row>
    <row r="33" spans="1:3">
      <c r="A33" s="8" t="s">
        <v>410</v>
      </c>
      <c r="B33" s="3">
        <v>1286</v>
      </c>
      <c r="C33" s="3">
        <v>47</v>
      </c>
    </row>
    <row r="34" spans="1:3">
      <c r="A34" s="8" t="s">
        <v>410</v>
      </c>
      <c r="B34" s="3">
        <v>1716</v>
      </c>
      <c r="C34" s="3">
        <v>120</v>
      </c>
    </row>
    <row r="35" spans="1:3">
      <c r="A35" s="8" t="s">
        <v>410</v>
      </c>
      <c r="B35" s="3">
        <v>2987</v>
      </c>
      <c r="C35" s="3">
        <v>132</v>
      </c>
    </row>
    <row r="36" spans="1:3">
      <c r="A36" s="8" t="s">
        <v>410</v>
      </c>
      <c r="B36" s="3">
        <v>3753</v>
      </c>
      <c r="C36" s="3">
        <v>90</v>
      </c>
    </row>
    <row r="37" spans="1:3">
      <c r="A37" s="7" t="s">
        <v>172</v>
      </c>
      <c r="B37" s="8">
        <v>2030</v>
      </c>
      <c r="C37" s="8">
        <v>21</v>
      </c>
    </row>
    <row r="38" spans="1:3">
      <c r="A38" s="7" t="s">
        <v>172</v>
      </c>
      <c r="B38" s="8">
        <v>1875</v>
      </c>
      <c r="C38" s="8">
        <v>93</v>
      </c>
    </row>
    <row r="39" spans="1:3">
      <c r="A39" s="7" t="s">
        <v>172</v>
      </c>
      <c r="B39" s="8">
        <v>2430</v>
      </c>
      <c r="C39" s="8">
        <v>62</v>
      </c>
    </row>
    <row r="40" spans="1:3">
      <c r="A40" s="7" t="s">
        <v>172</v>
      </c>
      <c r="B40" s="8">
        <v>2128</v>
      </c>
      <c r="C40" s="8">
        <v>58</v>
      </c>
    </row>
    <row r="41" spans="1:3">
      <c r="A41" s="7" t="s">
        <v>411</v>
      </c>
      <c r="B41" s="8">
        <v>6092</v>
      </c>
      <c r="C41" s="8">
        <v>185</v>
      </c>
    </row>
    <row r="42" spans="1:3">
      <c r="A42" s="7" t="s">
        <v>411</v>
      </c>
      <c r="B42" s="8">
        <v>5306</v>
      </c>
      <c r="C42" s="8">
        <v>196</v>
      </c>
    </row>
    <row r="43" spans="1:3">
      <c r="A43" s="7" t="s">
        <v>411</v>
      </c>
      <c r="B43" s="3">
        <v>5318</v>
      </c>
      <c r="C43" s="3">
        <v>105</v>
      </c>
    </row>
    <row r="44" spans="1:3">
      <c r="A44" s="7" t="s">
        <v>411</v>
      </c>
      <c r="B44" s="3">
        <v>5647</v>
      </c>
      <c r="C44" s="3">
        <v>94</v>
      </c>
    </row>
    <row r="45" spans="1:3">
      <c r="A45" s="7" t="s">
        <v>412</v>
      </c>
      <c r="B45" s="3">
        <v>1561</v>
      </c>
      <c r="C45" s="3">
        <v>107</v>
      </c>
    </row>
    <row r="46" spans="1:3">
      <c r="A46" s="7" t="s">
        <v>412</v>
      </c>
      <c r="B46" s="3">
        <v>1439</v>
      </c>
      <c r="C46" s="3">
        <v>97</v>
      </c>
    </row>
    <row r="47" spans="1:3">
      <c r="A47" s="7" t="s">
        <v>412</v>
      </c>
      <c r="B47" s="3">
        <v>1613</v>
      </c>
      <c r="C47" s="3">
        <v>108</v>
      </c>
    </row>
    <row r="48" spans="1:3">
      <c r="A48" s="7" t="s">
        <v>413</v>
      </c>
      <c r="B48" s="8">
        <v>124</v>
      </c>
      <c r="C48" s="8">
        <v>86</v>
      </c>
    </row>
    <row r="49" spans="1:3">
      <c r="A49" s="6" t="s">
        <v>51</v>
      </c>
      <c r="B49" s="3">
        <v>581</v>
      </c>
      <c r="C49" s="3">
        <v>54</v>
      </c>
    </row>
    <row r="50" spans="1:3">
      <c r="A50" s="6" t="s">
        <v>51</v>
      </c>
      <c r="B50" s="3">
        <v>1119</v>
      </c>
      <c r="C50" s="3">
        <v>32</v>
      </c>
    </row>
    <row r="51" spans="1:3">
      <c r="A51" s="7" t="s">
        <v>414</v>
      </c>
      <c r="B51" s="3">
        <v>712</v>
      </c>
      <c r="C51" s="3">
        <v>75</v>
      </c>
    </row>
    <row r="52" spans="1:3">
      <c r="A52" s="7" t="s">
        <v>414</v>
      </c>
      <c r="B52" s="3">
        <v>734</v>
      </c>
      <c r="C52" s="3">
        <v>71</v>
      </c>
    </row>
    <row r="53" spans="1:3">
      <c r="A53" s="7" t="s">
        <v>414</v>
      </c>
      <c r="B53" s="3">
        <v>890</v>
      </c>
      <c r="C53" s="3">
        <v>140</v>
      </c>
    </row>
    <row r="54" spans="1:3">
      <c r="A54" s="7" t="s">
        <v>414</v>
      </c>
      <c r="B54" s="3">
        <v>1046</v>
      </c>
      <c r="C54" s="3">
        <v>128</v>
      </c>
    </row>
    <row r="55" spans="1:3">
      <c r="A55" s="7" t="s">
        <v>415</v>
      </c>
      <c r="B55" s="3">
        <v>1033</v>
      </c>
      <c r="C55" s="3">
        <v>110</v>
      </c>
    </row>
    <row r="56" spans="1:3">
      <c r="A56" s="7" t="s">
        <v>415</v>
      </c>
      <c r="B56" s="3">
        <v>1128</v>
      </c>
      <c r="C56" s="3">
        <v>121</v>
      </c>
    </row>
    <row r="57" spans="1:3">
      <c r="A57" s="7" t="s">
        <v>416</v>
      </c>
      <c r="B57" s="3">
        <v>1285</v>
      </c>
      <c r="C57" s="3">
        <v>58</v>
      </c>
    </row>
    <row r="58" spans="1:3">
      <c r="A58" s="3" t="s">
        <v>124</v>
      </c>
      <c r="B58" s="3">
        <v>1423</v>
      </c>
      <c r="C58" s="3">
        <v>85</v>
      </c>
    </row>
    <row r="59" spans="1:3">
      <c r="A59" s="3" t="s">
        <v>124</v>
      </c>
      <c r="B59" s="3">
        <v>1810</v>
      </c>
      <c r="C59" s="3">
        <v>111</v>
      </c>
    </row>
    <row r="60" spans="1:3">
      <c r="A60" s="3" t="s">
        <v>417</v>
      </c>
      <c r="B60" s="3">
        <v>1516</v>
      </c>
      <c r="C60" s="3">
        <v>132</v>
      </c>
    </row>
    <row r="61" spans="1:3">
      <c r="A61" s="3" t="s">
        <v>166</v>
      </c>
      <c r="B61" s="3">
        <v>1813</v>
      </c>
      <c r="C61" s="3">
        <v>185</v>
      </c>
    </row>
    <row r="62" spans="1:3">
      <c r="A62" s="7" t="s">
        <v>418</v>
      </c>
      <c r="B62" s="3">
        <v>3115</v>
      </c>
      <c r="C62" s="3">
        <v>164</v>
      </c>
    </row>
    <row r="63" spans="1:3">
      <c r="A63" s="7" t="s">
        <v>418</v>
      </c>
      <c r="B63" s="3">
        <v>3135</v>
      </c>
      <c r="C63" s="3">
        <v>144</v>
      </c>
    </row>
    <row r="64" spans="1:3">
      <c r="A64" s="7" t="s">
        <v>418</v>
      </c>
      <c r="B64" s="3">
        <v>3468</v>
      </c>
      <c r="C64" s="3">
        <v>94</v>
      </c>
    </row>
    <row r="65" spans="1:3">
      <c r="A65" s="6" t="s">
        <v>219</v>
      </c>
      <c r="B65" s="3">
        <v>6928</v>
      </c>
      <c r="C65" s="3">
        <v>167</v>
      </c>
    </row>
    <row r="66" spans="1:3">
      <c r="A66" s="6" t="s">
        <v>219</v>
      </c>
      <c r="B66" s="3">
        <v>3371</v>
      </c>
      <c r="C66" s="3">
        <v>146</v>
      </c>
    </row>
    <row r="67" spans="1:3">
      <c r="A67" s="6" t="s">
        <v>250</v>
      </c>
      <c r="B67" s="3">
        <v>3792</v>
      </c>
      <c r="C67" s="3">
        <v>116</v>
      </c>
    </row>
    <row r="68" spans="1:3">
      <c r="A68" s="6" t="s">
        <v>419</v>
      </c>
      <c r="B68" s="3">
        <v>4050</v>
      </c>
      <c r="C68" s="3">
        <v>283</v>
      </c>
    </row>
    <row r="69" spans="1:3">
      <c r="A69" s="6" t="s">
        <v>420</v>
      </c>
      <c r="B69" s="3">
        <v>4244</v>
      </c>
      <c r="C69" s="3">
        <v>145</v>
      </c>
    </row>
    <row r="70" spans="1:3">
      <c r="A70" s="7" t="s">
        <v>421</v>
      </c>
      <c r="B70" s="3">
        <v>5749</v>
      </c>
      <c r="C70" s="3">
        <v>219</v>
      </c>
    </row>
    <row r="71" spans="1:3">
      <c r="A71" s="6" t="s">
        <v>422</v>
      </c>
      <c r="B71" s="3">
        <v>5852</v>
      </c>
      <c r="C71" s="3">
        <v>111</v>
      </c>
    </row>
    <row r="72" spans="1:3">
      <c r="A72" s="3" t="s">
        <v>367</v>
      </c>
      <c r="B72" s="3">
        <v>6135</v>
      </c>
      <c r="C72" s="3">
        <v>209</v>
      </c>
    </row>
    <row r="73" spans="1:3">
      <c r="A73" s="3" t="s">
        <v>367</v>
      </c>
      <c r="B73" s="3">
        <v>7392</v>
      </c>
      <c r="C73" s="3">
        <v>205</v>
      </c>
    </row>
    <row r="74" spans="1:3">
      <c r="A74" s="6" t="s">
        <v>402</v>
      </c>
      <c r="B74" s="3">
        <v>7902</v>
      </c>
      <c r="C74" s="3">
        <v>187</v>
      </c>
    </row>
    <row r="75" spans="1:3">
      <c r="A75" s="6" t="s">
        <v>402</v>
      </c>
      <c r="B75" s="3">
        <v>8283</v>
      </c>
      <c r="C75" s="3">
        <v>180</v>
      </c>
    </row>
    <row r="76" spans="1:3">
      <c r="A76" s="6" t="s">
        <v>402</v>
      </c>
      <c r="B76" s="3">
        <v>8524</v>
      </c>
      <c r="C76" s="3">
        <v>286</v>
      </c>
    </row>
    <row r="77" spans="1:3">
      <c r="A77" s="6" t="s">
        <v>403</v>
      </c>
      <c r="B77" s="3">
        <v>8512</v>
      </c>
      <c r="C77" s="3">
        <v>176</v>
      </c>
    </row>
    <row r="78" spans="1:3">
      <c r="A78" s="3" t="s">
        <v>398</v>
      </c>
      <c r="B78" s="3">
        <v>9625</v>
      </c>
      <c r="C78" s="3">
        <v>127</v>
      </c>
    </row>
    <row r="79" spans="1:3">
      <c r="A79" s="3" t="s">
        <v>398</v>
      </c>
      <c r="B79" s="3">
        <v>9724</v>
      </c>
      <c r="C79" s="3">
        <v>157</v>
      </c>
    </row>
    <row r="80" spans="1:3">
      <c r="A80" s="6" t="s">
        <v>79</v>
      </c>
      <c r="B80" s="3">
        <v>771</v>
      </c>
      <c r="C80" s="3">
        <v>93</v>
      </c>
    </row>
    <row r="81" spans="1:3">
      <c r="A81" s="7"/>
      <c r="B81" s="7"/>
      <c r="C81" s="7"/>
    </row>
    <row r="82" spans="1:3">
      <c r="A82" s="7"/>
      <c r="B82" s="7"/>
      <c r="C82" s="7"/>
    </row>
    <row r="83" spans="1:3">
      <c r="A83" s="7"/>
      <c r="B83" s="7"/>
      <c r="C83" s="7"/>
    </row>
    <row r="84" spans="1:3">
      <c r="A84" s="7"/>
      <c r="B84" s="7"/>
      <c r="C84" s="7"/>
    </row>
    <row r="85" spans="1:3">
      <c r="A85" s="7"/>
      <c r="B85" s="7"/>
      <c r="C85" s="7"/>
    </row>
    <row r="86" spans="1:3">
      <c r="A86" s="7"/>
      <c r="B86" s="7"/>
      <c r="C86" s="7"/>
    </row>
    <row r="87" spans="1:3">
      <c r="A87" s="7"/>
      <c r="B87" s="7"/>
      <c r="C87" s="7"/>
    </row>
    <row r="88" spans="1:3">
      <c r="A88" s="7"/>
      <c r="B88" s="7"/>
      <c r="C88" s="7"/>
    </row>
    <row r="89" spans="1:3">
      <c r="A89" s="7"/>
      <c r="B89" s="7"/>
      <c r="C89" s="7"/>
    </row>
    <row r="90" spans="1:3">
      <c r="A90" s="7"/>
      <c r="B90" s="7"/>
      <c r="C90" s="7"/>
    </row>
    <row r="91" spans="1:3">
      <c r="A91" s="7"/>
      <c r="B91" s="7"/>
      <c r="C91" s="7"/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8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.140625" customWidth="1"/>
    <col min="2" max="2" width="5.7109375" customWidth="1"/>
  </cols>
  <sheetData>
    <row r="1" spans="1:2">
      <c r="A1" s="1" t="s">
        <v>17</v>
      </c>
      <c r="B1" s="1" t="s">
        <v>18</v>
      </c>
    </row>
    <row r="2" spans="1:2">
      <c r="A2" s="3">
        <v>124</v>
      </c>
      <c r="B2" s="3">
        <v>86</v>
      </c>
    </row>
    <row r="3" spans="1:2">
      <c r="A3" s="3">
        <v>413</v>
      </c>
      <c r="B3" s="3">
        <v>62</v>
      </c>
    </row>
    <row r="4" spans="1:2">
      <c r="A4" s="3">
        <v>581</v>
      </c>
      <c r="B4" s="3">
        <v>54</v>
      </c>
    </row>
    <row r="5" spans="1:2">
      <c r="A5" s="3">
        <v>672</v>
      </c>
      <c r="B5" s="3">
        <v>91</v>
      </c>
    </row>
    <row r="6" spans="1:2">
      <c r="A6" s="3">
        <v>708</v>
      </c>
      <c r="B6" s="3">
        <v>64</v>
      </c>
    </row>
    <row r="7" spans="1:2">
      <c r="A7" s="3">
        <v>712</v>
      </c>
      <c r="B7" s="3">
        <v>75</v>
      </c>
    </row>
    <row r="8" spans="1:2">
      <c r="A8" s="3">
        <v>734</v>
      </c>
      <c r="B8" s="3">
        <v>71</v>
      </c>
    </row>
    <row r="9" spans="1:2">
      <c r="A9" s="3">
        <v>747</v>
      </c>
      <c r="B9" s="3">
        <v>60</v>
      </c>
    </row>
    <row r="10" spans="1:2">
      <c r="A10" s="3">
        <v>798</v>
      </c>
      <c r="B10" s="3">
        <v>70</v>
      </c>
    </row>
    <row r="11" spans="1:2">
      <c r="A11" s="3">
        <v>799</v>
      </c>
      <c r="B11" s="3">
        <v>72</v>
      </c>
    </row>
    <row r="12" spans="1:2">
      <c r="A12" s="3">
        <v>890</v>
      </c>
      <c r="B12" s="3">
        <v>140</v>
      </c>
    </row>
    <row r="13" spans="1:2">
      <c r="A13" s="3">
        <v>1033</v>
      </c>
      <c r="B13" s="3">
        <v>110</v>
      </c>
    </row>
    <row r="14" spans="1:2">
      <c r="A14" s="3">
        <v>1046</v>
      </c>
      <c r="B14" s="3">
        <v>128</v>
      </c>
    </row>
    <row r="15" spans="1:2">
      <c r="A15" s="3">
        <v>1116</v>
      </c>
      <c r="B15" s="3">
        <v>103</v>
      </c>
    </row>
    <row r="16" spans="1:2">
      <c r="A16" s="3">
        <v>1119</v>
      </c>
      <c r="B16" s="3">
        <v>32</v>
      </c>
    </row>
    <row r="17" spans="1:2">
      <c r="A17" s="3">
        <v>1128</v>
      </c>
      <c r="B17" s="3">
        <v>121</v>
      </c>
    </row>
    <row r="18" spans="1:2">
      <c r="A18" s="3">
        <v>1285</v>
      </c>
      <c r="B18" s="3">
        <v>58</v>
      </c>
    </row>
    <row r="19" spans="1:2">
      <c r="A19" s="3">
        <v>1286</v>
      </c>
      <c r="B19" s="3">
        <v>47</v>
      </c>
    </row>
    <row r="20" spans="1:2">
      <c r="A20" s="3">
        <v>1411</v>
      </c>
      <c r="B20" s="3">
        <v>60</v>
      </c>
    </row>
    <row r="21" spans="1:2">
      <c r="A21" s="3">
        <v>1423</v>
      </c>
      <c r="B21" s="3">
        <v>85</v>
      </c>
    </row>
    <row r="22" spans="1:2">
      <c r="A22" s="3">
        <v>1492</v>
      </c>
      <c r="B22" s="3">
        <v>98</v>
      </c>
    </row>
    <row r="23" spans="1:2">
      <c r="A23" s="3">
        <v>1516</v>
      </c>
      <c r="B23" s="3">
        <v>132</v>
      </c>
    </row>
    <row r="24" spans="1:2">
      <c r="A24" s="3">
        <v>1603</v>
      </c>
      <c r="B24" s="3">
        <v>108</v>
      </c>
    </row>
    <row r="25" spans="1:2">
      <c r="A25" s="3">
        <v>1716</v>
      </c>
      <c r="B25" s="3">
        <v>120</v>
      </c>
    </row>
    <row r="26" spans="1:2">
      <c r="A26" s="3">
        <v>1795</v>
      </c>
      <c r="B26" s="3">
        <v>183</v>
      </c>
    </row>
    <row r="27" spans="1:2">
      <c r="A27" s="3">
        <v>1810</v>
      </c>
      <c r="B27" s="3">
        <v>111</v>
      </c>
    </row>
    <row r="28" spans="1:2">
      <c r="A28" s="3">
        <v>1875</v>
      </c>
      <c r="B28" s="3">
        <v>93</v>
      </c>
    </row>
    <row r="29" spans="1:2">
      <c r="A29" s="3">
        <v>1878</v>
      </c>
      <c r="B29" s="3">
        <v>67</v>
      </c>
    </row>
    <row r="30" spans="1:2">
      <c r="A30" s="3">
        <v>2011</v>
      </c>
      <c r="B30" s="3">
        <v>36</v>
      </c>
    </row>
    <row r="31" spans="1:2">
      <c r="A31" s="3">
        <v>2044</v>
      </c>
      <c r="B31" s="3">
        <v>33</v>
      </c>
    </row>
    <row r="32" spans="1:2">
      <c r="A32" s="3">
        <v>2054</v>
      </c>
      <c r="B32" s="3">
        <v>34</v>
      </c>
    </row>
    <row r="33" spans="1:2">
      <c r="A33" s="3">
        <v>2060</v>
      </c>
      <c r="B33" s="3">
        <v>40</v>
      </c>
    </row>
    <row r="34" spans="1:2">
      <c r="A34" s="3">
        <v>2089</v>
      </c>
      <c r="B34" s="3">
        <v>113</v>
      </c>
    </row>
    <row r="35" spans="1:2">
      <c r="A35" s="3">
        <v>2112</v>
      </c>
      <c r="B35" s="3">
        <v>131</v>
      </c>
    </row>
    <row r="36" spans="1:2">
      <c r="A36" s="3">
        <v>2166</v>
      </c>
      <c r="B36" s="3">
        <v>140</v>
      </c>
    </row>
    <row r="37" spans="1:2">
      <c r="A37" s="3">
        <v>2201</v>
      </c>
      <c r="B37" s="3">
        <v>73</v>
      </c>
    </row>
    <row r="38" spans="1:2">
      <c r="A38" s="3">
        <v>2302</v>
      </c>
      <c r="B38" s="3">
        <v>190</v>
      </c>
    </row>
    <row r="39" spans="1:2">
      <c r="A39" s="3">
        <v>2430</v>
      </c>
      <c r="B39" s="3">
        <v>62</v>
      </c>
    </row>
    <row r="40" spans="1:2">
      <c r="A40" s="3">
        <v>2823</v>
      </c>
      <c r="B40" s="3">
        <v>56</v>
      </c>
    </row>
    <row r="41" spans="1:2">
      <c r="A41" s="3">
        <v>2987</v>
      </c>
      <c r="B41" s="3">
        <v>132</v>
      </c>
    </row>
    <row r="42" spans="1:2">
      <c r="A42" s="3">
        <v>3020</v>
      </c>
      <c r="B42" s="3">
        <v>138</v>
      </c>
    </row>
    <row r="43" spans="1:2">
      <c r="A43" s="3">
        <v>3115</v>
      </c>
      <c r="B43" s="3">
        <v>164</v>
      </c>
    </row>
    <row r="44" spans="1:2">
      <c r="A44" s="3">
        <v>3135</v>
      </c>
      <c r="B44" s="3">
        <v>144</v>
      </c>
    </row>
    <row r="45" spans="1:2">
      <c r="A45" s="3">
        <v>3233</v>
      </c>
      <c r="B45" s="3">
        <v>137</v>
      </c>
    </row>
    <row r="46" spans="1:2">
      <c r="A46" s="3">
        <v>3315</v>
      </c>
      <c r="B46" s="3">
        <v>79</v>
      </c>
    </row>
    <row r="47" spans="1:2">
      <c r="A47" s="3">
        <v>3399</v>
      </c>
      <c r="B47" s="3">
        <v>75</v>
      </c>
    </row>
    <row r="48" spans="1:2">
      <c r="A48" s="3">
        <v>3468</v>
      </c>
      <c r="B48" s="3">
        <v>94</v>
      </c>
    </row>
    <row r="49" spans="1:2">
      <c r="A49" s="3">
        <v>3503</v>
      </c>
      <c r="B49" s="3">
        <v>121</v>
      </c>
    </row>
    <row r="50" spans="1:2">
      <c r="A50" s="3">
        <v>3557</v>
      </c>
      <c r="B50" s="3">
        <v>127</v>
      </c>
    </row>
    <row r="51" spans="1:2">
      <c r="A51" s="3">
        <v>3600</v>
      </c>
      <c r="B51" s="3">
        <v>139</v>
      </c>
    </row>
    <row r="52" spans="1:2">
      <c r="A52" s="3">
        <v>3650</v>
      </c>
      <c r="B52" s="3">
        <v>141</v>
      </c>
    </row>
    <row r="53" spans="1:2">
      <c r="A53" s="3">
        <v>3736</v>
      </c>
      <c r="B53" s="3">
        <v>84</v>
      </c>
    </row>
    <row r="54" spans="1:2">
      <c r="A54" s="3">
        <v>3747</v>
      </c>
      <c r="B54" s="3">
        <v>102</v>
      </c>
    </row>
    <row r="55" spans="1:2">
      <c r="A55" s="3">
        <v>3749</v>
      </c>
      <c r="B55" s="3">
        <v>121</v>
      </c>
    </row>
    <row r="56" spans="1:2">
      <c r="A56" s="3">
        <v>3753</v>
      </c>
      <c r="B56" s="3">
        <v>90</v>
      </c>
    </row>
    <row r="57" spans="1:2">
      <c r="A57" s="3">
        <v>3792</v>
      </c>
      <c r="B57" s="3">
        <v>116</v>
      </c>
    </row>
    <row r="58" spans="1:2">
      <c r="A58" s="3">
        <v>3792</v>
      </c>
      <c r="B58" s="3">
        <v>111</v>
      </c>
    </row>
    <row r="59" spans="1:2">
      <c r="A59" s="3">
        <v>3926</v>
      </c>
      <c r="B59" s="3">
        <v>130</v>
      </c>
    </row>
    <row r="60" spans="1:2">
      <c r="A60" s="3">
        <v>3953</v>
      </c>
      <c r="B60" s="3">
        <v>123</v>
      </c>
    </row>
    <row r="61" spans="1:2">
      <c r="A61" s="3">
        <v>3980</v>
      </c>
      <c r="B61" s="3">
        <v>109</v>
      </c>
    </row>
    <row r="62" spans="1:2">
      <c r="A62" s="3">
        <v>4051</v>
      </c>
      <c r="B62" s="3">
        <v>126</v>
      </c>
    </row>
    <row r="63" spans="1:2">
      <c r="A63" s="3">
        <v>4064</v>
      </c>
      <c r="B63" s="3">
        <v>120</v>
      </c>
    </row>
    <row r="64" spans="1:2">
      <c r="A64" s="3">
        <v>4108</v>
      </c>
      <c r="B64" s="3">
        <v>159</v>
      </c>
    </row>
    <row r="65" spans="1:2">
      <c r="A65" s="3">
        <v>4230</v>
      </c>
      <c r="B65" s="3">
        <v>104</v>
      </c>
    </row>
    <row r="66" spans="1:2">
      <c r="A66" s="3">
        <v>4266</v>
      </c>
      <c r="B66" s="3">
        <v>111</v>
      </c>
    </row>
    <row r="67" spans="1:2">
      <c r="A67" s="3">
        <v>4351</v>
      </c>
      <c r="B67" s="3">
        <v>48</v>
      </c>
    </row>
    <row r="68" spans="1:2">
      <c r="A68" s="3">
        <v>4486</v>
      </c>
      <c r="B68" s="3">
        <v>95</v>
      </c>
    </row>
    <row r="69" spans="1:2">
      <c r="A69" s="3">
        <v>4521</v>
      </c>
      <c r="B69" s="3">
        <v>138</v>
      </c>
    </row>
    <row r="70" spans="1:2">
      <c r="A70" s="3">
        <v>4544</v>
      </c>
      <c r="B70" s="3">
        <v>310</v>
      </c>
    </row>
    <row r="71" spans="1:2">
      <c r="A71" s="3">
        <v>5004</v>
      </c>
      <c r="B71" s="3">
        <v>115</v>
      </c>
    </row>
    <row r="72" spans="1:2">
      <c r="A72" s="3">
        <v>5054</v>
      </c>
      <c r="B72" s="3">
        <v>133</v>
      </c>
    </row>
    <row r="73" spans="1:2">
      <c r="A73" s="3">
        <v>5206</v>
      </c>
      <c r="B73" s="3">
        <v>153</v>
      </c>
    </row>
    <row r="74" spans="1:2">
      <c r="A74" s="3">
        <v>9625</v>
      </c>
      <c r="B74" s="3">
        <v>127</v>
      </c>
    </row>
    <row r="75" spans="1:2">
      <c r="A75" s="3">
        <v>9724</v>
      </c>
      <c r="B75" s="3">
        <v>157</v>
      </c>
    </row>
    <row r="76" spans="1:2">
      <c r="A76" s="3"/>
      <c r="B76" s="3"/>
    </row>
    <row r="77" spans="1:2">
      <c r="A77" s="3"/>
      <c r="B77" s="3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58"/>
  <sheetViews>
    <sheetView workbookViewId="0"/>
  </sheetViews>
  <sheetFormatPr defaultColWidth="12.5703125" defaultRowHeight="15.75" customHeight="1"/>
  <cols>
    <col min="2" max="2" width="10" customWidth="1"/>
    <col min="3" max="3" width="5.7109375" customWidth="1"/>
  </cols>
  <sheetData>
    <row r="1" spans="1:3">
      <c r="A1" s="14" t="s">
        <v>1</v>
      </c>
      <c r="B1" s="1" t="s">
        <v>17</v>
      </c>
      <c r="C1" s="1" t="s">
        <v>18</v>
      </c>
    </row>
    <row r="2" spans="1:3">
      <c r="A2" s="8" t="s">
        <v>84</v>
      </c>
      <c r="B2" s="8">
        <v>3860</v>
      </c>
      <c r="C2" s="8">
        <v>589</v>
      </c>
    </row>
    <row r="3" spans="1:3">
      <c r="A3" s="8" t="s">
        <v>84</v>
      </c>
      <c r="B3" s="8">
        <v>4404</v>
      </c>
      <c r="C3" s="8">
        <v>141</v>
      </c>
    </row>
    <row r="4" spans="1:3">
      <c r="A4" s="8" t="s">
        <v>84</v>
      </c>
      <c r="B4" s="8">
        <v>338</v>
      </c>
      <c r="C4" s="8">
        <v>575</v>
      </c>
    </row>
    <row r="5" spans="1:3">
      <c r="A5" s="8" t="s">
        <v>84</v>
      </c>
      <c r="B5" s="8">
        <v>3680</v>
      </c>
      <c r="C5" s="8">
        <v>108</v>
      </c>
    </row>
    <row r="6" spans="1:3">
      <c r="A6" s="8" t="s">
        <v>84</v>
      </c>
      <c r="B6" s="8">
        <v>2622</v>
      </c>
      <c r="C6" s="8">
        <v>88</v>
      </c>
    </row>
    <row r="7" spans="1:3">
      <c r="A7" s="8" t="s">
        <v>84</v>
      </c>
      <c r="B7" s="8">
        <v>3595</v>
      </c>
      <c r="C7" s="8">
        <v>75</v>
      </c>
    </row>
    <row r="8" spans="1:3">
      <c r="A8" s="8" t="s">
        <v>84</v>
      </c>
      <c r="B8" s="8">
        <v>5455</v>
      </c>
      <c r="C8" s="8">
        <v>356</v>
      </c>
    </row>
    <row r="9" spans="1:3">
      <c r="A9" s="8" t="s">
        <v>84</v>
      </c>
      <c r="B9" s="8">
        <v>2564</v>
      </c>
      <c r="C9" s="8">
        <v>332</v>
      </c>
    </row>
    <row r="10" spans="1:3">
      <c r="A10" s="8" t="s">
        <v>84</v>
      </c>
      <c r="B10" s="8">
        <v>4692</v>
      </c>
      <c r="C10" s="8">
        <v>350</v>
      </c>
    </row>
    <row r="11" spans="1:3">
      <c r="A11" s="8" t="s">
        <v>84</v>
      </c>
      <c r="B11" s="8">
        <v>3833</v>
      </c>
      <c r="C11" s="8">
        <v>276</v>
      </c>
    </row>
    <row r="12" spans="1:3">
      <c r="A12" s="8" t="s">
        <v>409</v>
      </c>
      <c r="B12" s="8">
        <v>1430</v>
      </c>
      <c r="C12" s="8">
        <v>55</v>
      </c>
    </row>
    <row r="13" spans="1:3">
      <c r="A13" s="8" t="s">
        <v>409</v>
      </c>
      <c r="B13" s="3">
        <v>747</v>
      </c>
      <c r="C13" s="3">
        <v>60</v>
      </c>
    </row>
    <row r="14" spans="1:3">
      <c r="A14" s="8" t="s">
        <v>409</v>
      </c>
      <c r="B14" s="8">
        <v>1603</v>
      </c>
      <c r="C14" s="8">
        <v>108</v>
      </c>
    </row>
    <row r="15" spans="1:3">
      <c r="A15" s="8" t="s">
        <v>409</v>
      </c>
      <c r="B15" s="8">
        <v>1795</v>
      </c>
      <c r="C15" s="8">
        <v>183</v>
      </c>
    </row>
    <row r="16" spans="1:3">
      <c r="A16" s="8" t="s">
        <v>410</v>
      </c>
      <c r="B16" s="3">
        <v>413</v>
      </c>
      <c r="C16" s="3">
        <v>62</v>
      </c>
    </row>
    <row r="17" spans="1:3">
      <c r="A17" s="8" t="s">
        <v>410</v>
      </c>
      <c r="B17" s="3">
        <v>672</v>
      </c>
      <c r="C17" s="3">
        <v>91</v>
      </c>
    </row>
    <row r="18" spans="1:3">
      <c r="A18" s="8" t="s">
        <v>410</v>
      </c>
      <c r="B18" s="3">
        <v>708</v>
      </c>
      <c r="C18" s="3">
        <v>64</v>
      </c>
    </row>
    <row r="19" spans="1:3">
      <c r="A19" s="8" t="s">
        <v>410</v>
      </c>
      <c r="B19" s="3">
        <v>799</v>
      </c>
      <c r="C19" s="3">
        <v>72</v>
      </c>
    </row>
    <row r="20" spans="1:3">
      <c r="A20" s="8" t="s">
        <v>410</v>
      </c>
      <c r="B20" s="3">
        <v>1286</v>
      </c>
      <c r="C20" s="3">
        <v>47</v>
      </c>
    </row>
    <row r="21" spans="1:3">
      <c r="A21" s="8" t="s">
        <v>410</v>
      </c>
      <c r="B21" s="3">
        <v>1716</v>
      </c>
      <c r="C21" s="3">
        <v>120</v>
      </c>
    </row>
    <row r="22" spans="1:3">
      <c r="A22" s="8" t="s">
        <v>410</v>
      </c>
      <c r="B22" s="3">
        <v>2987</v>
      </c>
      <c r="C22" s="3">
        <v>132</v>
      </c>
    </row>
    <row r="23" spans="1:3">
      <c r="A23" s="8" t="s">
        <v>410</v>
      </c>
      <c r="B23" s="3">
        <v>3753</v>
      </c>
      <c r="C23" s="3">
        <v>90</v>
      </c>
    </row>
    <row r="24" spans="1:3">
      <c r="A24" s="7" t="s">
        <v>172</v>
      </c>
      <c r="B24" s="8">
        <v>2030</v>
      </c>
      <c r="C24" s="8">
        <v>21</v>
      </c>
    </row>
    <row r="25" spans="1:3">
      <c r="A25" s="7" t="s">
        <v>172</v>
      </c>
      <c r="B25" s="8">
        <v>1875</v>
      </c>
      <c r="C25" s="8">
        <v>93</v>
      </c>
    </row>
    <row r="26" spans="1:3">
      <c r="A26" s="7" t="s">
        <v>172</v>
      </c>
      <c r="B26" s="8">
        <v>2430</v>
      </c>
      <c r="C26" s="8">
        <v>62</v>
      </c>
    </row>
    <row r="27" spans="1:3">
      <c r="A27" s="7" t="s">
        <v>172</v>
      </c>
      <c r="B27" s="8">
        <v>2128</v>
      </c>
      <c r="C27" s="8">
        <v>58</v>
      </c>
    </row>
    <row r="28" spans="1:3">
      <c r="A28" s="7" t="s">
        <v>413</v>
      </c>
      <c r="B28" s="8">
        <v>124</v>
      </c>
      <c r="C28" s="8">
        <v>86</v>
      </c>
    </row>
    <row r="29" spans="1:3">
      <c r="A29" s="6" t="s">
        <v>51</v>
      </c>
      <c r="B29" s="3">
        <v>581</v>
      </c>
      <c r="C29" s="3">
        <v>54</v>
      </c>
    </row>
    <row r="30" spans="1:3">
      <c r="A30" s="6" t="s">
        <v>51</v>
      </c>
      <c r="B30" s="3">
        <v>1119</v>
      </c>
      <c r="C30" s="3">
        <v>32</v>
      </c>
    </row>
    <row r="31" spans="1:3">
      <c r="A31" s="7" t="s">
        <v>414</v>
      </c>
      <c r="B31" s="3">
        <v>712</v>
      </c>
      <c r="C31" s="3">
        <v>75</v>
      </c>
    </row>
    <row r="32" spans="1:3">
      <c r="A32" s="7" t="s">
        <v>414</v>
      </c>
      <c r="B32" s="3">
        <v>734</v>
      </c>
      <c r="C32" s="3">
        <v>71</v>
      </c>
    </row>
    <row r="33" spans="1:3">
      <c r="A33" s="7" t="s">
        <v>414</v>
      </c>
      <c r="B33" s="3">
        <v>890</v>
      </c>
      <c r="C33" s="3">
        <v>140</v>
      </c>
    </row>
    <row r="34" spans="1:3">
      <c r="A34" s="7" t="s">
        <v>414</v>
      </c>
      <c r="B34" s="3">
        <v>1046</v>
      </c>
      <c r="C34" s="3">
        <v>128</v>
      </c>
    </row>
    <row r="35" spans="1:3">
      <c r="A35" s="7" t="s">
        <v>415</v>
      </c>
      <c r="B35" s="3">
        <v>1033</v>
      </c>
      <c r="C35" s="3">
        <v>110</v>
      </c>
    </row>
    <row r="36" spans="1:3">
      <c r="A36" s="7" t="s">
        <v>415</v>
      </c>
      <c r="B36" s="3">
        <v>1128</v>
      </c>
      <c r="C36" s="3">
        <v>121</v>
      </c>
    </row>
    <row r="37" spans="1:3">
      <c r="A37" s="7" t="s">
        <v>416</v>
      </c>
      <c r="B37" s="3">
        <v>1285</v>
      </c>
      <c r="C37" s="3">
        <v>58</v>
      </c>
    </row>
    <row r="38" spans="1:3">
      <c r="A38" s="3" t="s">
        <v>124</v>
      </c>
      <c r="B38" s="3">
        <v>1423</v>
      </c>
      <c r="C38" s="3">
        <v>85</v>
      </c>
    </row>
    <row r="39" spans="1:3">
      <c r="A39" s="3" t="s">
        <v>124</v>
      </c>
      <c r="B39" s="3">
        <v>1810</v>
      </c>
      <c r="C39" s="3">
        <v>111</v>
      </c>
    </row>
    <row r="40" spans="1:3">
      <c r="A40" s="3" t="s">
        <v>417</v>
      </c>
      <c r="B40" s="3">
        <v>1516</v>
      </c>
      <c r="C40" s="3">
        <v>132</v>
      </c>
    </row>
    <row r="41" spans="1:3">
      <c r="A41" s="7" t="s">
        <v>418</v>
      </c>
      <c r="B41" s="3">
        <v>3115</v>
      </c>
      <c r="C41" s="3">
        <v>164</v>
      </c>
    </row>
    <row r="42" spans="1:3">
      <c r="A42" s="7" t="s">
        <v>418</v>
      </c>
      <c r="B42" s="3">
        <v>3135</v>
      </c>
      <c r="C42" s="3">
        <v>144</v>
      </c>
    </row>
    <row r="43" spans="1:3">
      <c r="A43" s="7" t="s">
        <v>418</v>
      </c>
      <c r="B43" s="3">
        <v>3468</v>
      </c>
      <c r="C43" s="3">
        <v>94</v>
      </c>
    </row>
    <row r="44" spans="1:3">
      <c r="A44" s="6" t="s">
        <v>250</v>
      </c>
      <c r="B44" s="3">
        <v>3792</v>
      </c>
      <c r="C44" s="3">
        <v>116</v>
      </c>
    </row>
    <row r="45" spans="1:3">
      <c r="A45" s="3" t="s">
        <v>398</v>
      </c>
      <c r="B45" s="3">
        <v>9625</v>
      </c>
      <c r="C45" s="3">
        <v>127</v>
      </c>
    </row>
    <row r="46" spans="1:3">
      <c r="A46" s="3" t="s">
        <v>398</v>
      </c>
      <c r="B46" s="3">
        <v>9724</v>
      </c>
      <c r="C46" s="3">
        <v>157</v>
      </c>
    </row>
    <row r="47" spans="1:3">
      <c r="A47" s="7"/>
      <c r="B47" s="7"/>
      <c r="C47" s="7"/>
    </row>
    <row r="48" spans="1:3">
      <c r="A48" s="7"/>
      <c r="B48" s="7"/>
      <c r="C48" s="7"/>
    </row>
    <row r="49" spans="1:3">
      <c r="A49" s="7"/>
      <c r="B49" s="7"/>
      <c r="C49" s="7"/>
    </row>
    <row r="50" spans="1:3">
      <c r="A50" s="7"/>
      <c r="B50" s="7"/>
      <c r="C50" s="7"/>
    </row>
    <row r="51" spans="1:3">
      <c r="A51" s="7"/>
      <c r="B51" s="7"/>
      <c r="C51" s="7"/>
    </row>
    <row r="52" spans="1:3">
      <c r="A52" s="7"/>
      <c r="B52" s="7"/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>
      <c r="A55" s="7"/>
      <c r="B55" s="7"/>
      <c r="C55" s="7"/>
    </row>
    <row r="56" spans="1:3">
      <c r="A56" s="7"/>
      <c r="B56" s="7"/>
      <c r="C56" s="7"/>
    </row>
    <row r="57" spans="1:3">
      <c r="A57" s="7"/>
      <c r="B57" s="7"/>
      <c r="C57" s="7"/>
    </row>
    <row r="58" spans="1:3">
      <c r="A58" s="7"/>
      <c r="B58" s="7"/>
      <c r="C58" s="7"/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7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85546875" customWidth="1"/>
    <col min="2" max="2" width="5.85546875" customWidth="1"/>
  </cols>
  <sheetData>
    <row r="1" spans="1:2">
      <c r="A1" s="1" t="s">
        <v>17</v>
      </c>
      <c r="B1" s="1" t="s">
        <v>18</v>
      </c>
    </row>
    <row r="2" spans="1:2">
      <c r="A2" s="3">
        <v>1439</v>
      </c>
      <c r="B2" s="3">
        <v>97</v>
      </c>
    </row>
    <row r="3" spans="1:2">
      <c r="A3" s="3">
        <v>1439</v>
      </c>
      <c r="B3" s="3">
        <v>97</v>
      </c>
    </row>
    <row r="4" spans="1:2">
      <c r="A4" s="3">
        <v>1561</v>
      </c>
      <c r="B4" s="3">
        <v>107</v>
      </c>
    </row>
    <row r="5" spans="1:2">
      <c r="A5" s="3">
        <v>1613</v>
      </c>
      <c r="B5" s="3">
        <v>108</v>
      </c>
    </row>
    <row r="6" spans="1:2">
      <c r="A6" s="3">
        <v>1813</v>
      </c>
      <c r="B6" s="3">
        <v>185</v>
      </c>
    </row>
    <row r="7" spans="1:2">
      <c r="A7" s="3">
        <v>2062</v>
      </c>
      <c r="B7" s="3">
        <v>83</v>
      </c>
    </row>
    <row r="8" spans="1:2">
      <c r="A8" s="3">
        <v>3371</v>
      </c>
      <c r="B8" s="3">
        <v>146</v>
      </c>
    </row>
    <row r="9" spans="1:2">
      <c r="A9" s="3">
        <v>3493</v>
      </c>
      <c r="B9" s="3">
        <v>59</v>
      </c>
    </row>
    <row r="10" spans="1:2">
      <c r="A10" s="3">
        <v>3624</v>
      </c>
      <c r="B10" s="3">
        <v>96</v>
      </c>
    </row>
    <row r="11" spans="1:2">
      <c r="A11" s="3">
        <v>3633</v>
      </c>
      <c r="B11" s="3">
        <v>87</v>
      </c>
    </row>
    <row r="12" spans="1:2">
      <c r="A12" s="3">
        <v>4026</v>
      </c>
      <c r="B12" s="3">
        <v>185</v>
      </c>
    </row>
    <row r="13" spans="1:2">
      <c r="A13" s="3">
        <v>4050</v>
      </c>
      <c r="B13" s="3">
        <v>283</v>
      </c>
    </row>
    <row r="14" spans="1:2">
      <c r="A14" s="3">
        <v>4160</v>
      </c>
      <c r="B14" s="3">
        <v>154</v>
      </c>
    </row>
    <row r="15" spans="1:2">
      <c r="A15" s="3">
        <v>4244</v>
      </c>
      <c r="B15" s="3">
        <v>145</v>
      </c>
    </row>
    <row r="16" spans="1:2">
      <c r="A16" s="3">
        <v>4660</v>
      </c>
      <c r="B16" s="3">
        <v>111</v>
      </c>
    </row>
    <row r="17" spans="1:2">
      <c r="A17" s="3">
        <v>4709</v>
      </c>
      <c r="B17" s="3">
        <v>100</v>
      </c>
    </row>
    <row r="18" spans="1:2">
      <c r="A18" s="3">
        <v>4715</v>
      </c>
      <c r="B18" s="3">
        <v>144</v>
      </c>
    </row>
    <row r="19" spans="1:2">
      <c r="A19" s="3">
        <v>4732</v>
      </c>
      <c r="B19" s="3">
        <v>315</v>
      </c>
    </row>
    <row r="20" spans="1:2">
      <c r="A20" s="3">
        <v>4760</v>
      </c>
      <c r="B20" s="3">
        <v>155</v>
      </c>
    </row>
    <row r="21" spans="1:2">
      <c r="A21" s="3">
        <v>4807</v>
      </c>
      <c r="B21" s="3">
        <v>125</v>
      </c>
    </row>
    <row r="22" spans="1:2">
      <c r="A22" s="3">
        <v>4822</v>
      </c>
      <c r="B22" s="3">
        <v>174</v>
      </c>
    </row>
    <row r="23" spans="1:2">
      <c r="A23" s="3">
        <v>4851</v>
      </c>
      <c r="B23" s="3">
        <v>129</v>
      </c>
    </row>
    <row r="24" spans="1:2">
      <c r="A24" s="3">
        <v>4895</v>
      </c>
      <c r="B24" s="3">
        <v>128</v>
      </c>
    </row>
    <row r="25" spans="1:2">
      <c r="A25" s="3">
        <v>4973</v>
      </c>
      <c r="B25" s="3">
        <v>149</v>
      </c>
    </row>
    <row r="26" spans="1:2">
      <c r="A26" s="3">
        <v>5063</v>
      </c>
      <c r="B26" s="3">
        <v>172</v>
      </c>
    </row>
    <row r="27" spans="1:2">
      <c r="A27" s="3">
        <v>5076</v>
      </c>
      <c r="B27" s="3">
        <v>134</v>
      </c>
    </row>
    <row r="28" spans="1:2">
      <c r="A28" s="3">
        <v>5083</v>
      </c>
      <c r="B28" s="3">
        <v>142</v>
      </c>
    </row>
    <row r="29" spans="1:2">
      <c r="A29" s="3">
        <v>5108</v>
      </c>
      <c r="B29" s="3">
        <v>142</v>
      </c>
    </row>
    <row r="30" spans="1:2">
      <c r="A30" s="3">
        <v>5122</v>
      </c>
      <c r="B30" s="3">
        <v>131</v>
      </c>
    </row>
    <row r="31" spans="1:2">
      <c r="A31" s="3">
        <v>5137</v>
      </c>
      <c r="B31" s="3">
        <v>129</v>
      </c>
    </row>
    <row r="32" spans="1:2">
      <c r="A32" s="3">
        <v>5149</v>
      </c>
      <c r="B32" s="3">
        <v>153</v>
      </c>
    </row>
    <row r="33" spans="1:2">
      <c r="A33" s="3">
        <v>5165</v>
      </c>
      <c r="B33" s="3">
        <v>179</v>
      </c>
    </row>
    <row r="34" spans="1:2">
      <c r="A34" s="3">
        <v>5171</v>
      </c>
      <c r="B34" s="3">
        <v>156</v>
      </c>
    </row>
    <row r="35" spans="1:2">
      <c r="A35" s="3">
        <v>5191</v>
      </c>
      <c r="B35" s="3">
        <v>144</v>
      </c>
    </row>
    <row r="36" spans="1:2">
      <c r="A36" s="3">
        <v>5194</v>
      </c>
      <c r="B36" s="3">
        <v>159</v>
      </c>
    </row>
    <row r="37" spans="1:2">
      <c r="A37" s="3">
        <v>5288</v>
      </c>
      <c r="B37" s="3">
        <v>171</v>
      </c>
    </row>
    <row r="38" spans="1:2">
      <c r="A38" s="3">
        <v>5318</v>
      </c>
      <c r="B38" s="3">
        <v>105</v>
      </c>
    </row>
    <row r="39" spans="1:2">
      <c r="A39" s="3">
        <v>5401</v>
      </c>
      <c r="B39" s="3">
        <v>61</v>
      </c>
    </row>
    <row r="40" spans="1:2">
      <c r="A40" s="3">
        <v>5439</v>
      </c>
      <c r="B40" s="3">
        <v>96</v>
      </c>
    </row>
    <row r="41" spans="1:2">
      <c r="A41" s="3">
        <v>5451</v>
      </c>
      <c r="B41" s="3">
        <v>113</v>
      </c>
    </row>
    <row r="42" spans="1:2">
      <c r="A42" s="3">
        <v>5466</v>
      </c>
      <c r="B42" s="3">
        <v>138</v>
      </c>
    </row>
    <row r="43" spans="1:2">
      <c r="A43" s="3">
        <v>5486</v>
      </c>
      <c r="B43" s="3">
        <v>92</v>
      </c>
    </row>
    <row r="44" spans="1:2">
      <c r="A44" s="3">
        <v>5531</v>
      </c>
      <c r="B44" s="3">
        <v>117</v>
      </c>
    </row>
    <row r="45" spans="1:2">
      <c r="A45" s="3">
        <v>5595</v>
      </c>
      <c r="B45" s="3">
        <v>96</v>
      </c>
    </row>
    <row r="46" spans="1:2">
      <c r="A46" s="3">
        <v>5600</v>
      </c>
      <c r="B46" s="3">
        <v>124</v>
      </c>
    </row>
    <row r="47" spans="1:2">
      <c r="A47" s="3">
        <v>5629</v>
      </c>
      <c r="B47" s="3">
        <v>123</v>
      </c>
    </row>
    <row r="48" spans="1:2">
      <c r="A48" s="3">
        <v>5647</v>
      </c>
      <c r="B48" s="3">
        <v>94</v>
      </c>
    </row>
    <row r="49" spans="1:2">
      <c r="A49" s="3">
        <v>5656</v>
      </c>
      <c r="B49" s="3">
        <v>112</v>
      </c>
    </row>
    <row r="50" spans="1:2">
      <c r="A50" s="3">
        <v>5692</v>
      </c>
      <c r="B50" s="3">
        <v>47</v>
      </c>
    </row>
    <row r="51" spans="1:2">
      <c r="A51" s="3">
        <v>5710</v>
      </c>
      <c r="B51" s="3">
        <v>97</v>
      </c>
    </row>
    <row r="52" spans="1:2">
      <c r="A52" s="3">
        <v>5749</v>
      </c>
      <c r="B52" s="3">
        <v>219</v>
      </c>
    </row>
    <row r="53" spans="1:2">
      <c r="A53" s="3">
        <v>5768</v>
      </c>
      <c r="B53" s="3">
        <v>146</v>
      </c>
    </row>
    <row r="54" spans="1:2">
      <c r="A54" s="3">
        <v>5773</v>
      </c>
      <c r="B54" s="3">
        <v>71</v>
      </c>
    </row>
    <row r="55" spans="1:2">
      <c r="A55" s="3">
        <v>5786</v>
      </c>
      <c r="B55" s="3">
        <v>69</v>
      </c>
    </row>
    <row r="56" spans="1:2">
      <c r="A56" s="3">
        <v>5852</v>
      </c>
      <c r="B56" s="3">
        <v>111</v>
      </c>
    </row>
    <row r="57" spans="1:2">
      <c r="A57" s="3">
        <v>5955</v>
      </c>
      <c r="B57" s="3">
        <v>28</v>
      </c>
    </row>
    <row r="58" spans="1:2">
      <c r="A58" s="3">
        <v>6135</v>
      </c>
      <c r="B58" s="3">
        <v>209</v>
      </c>
    </row>
    <row r="59" spans="1:2">
      <c r="A59" s="3">
        <v>6928</v>
      </c>
      <c r="B59" s="3">
        <v>167</v>
      </c>
    </row>
    <row r="60" spans="1:2">
      <c r="A60" s="3">
        <v>7392</v>
      </c>
      <c r="B60" s="3">
        <v>205</v>
      </c>
    </row>
    <row r="61" spans="1:2">
      <c r="A61" s="3">
        <v>7901</v>
      </c>
      <c r="B61" s="3">
        <v>115</v>
      </c>
    </row>
    <row r="62" spans="1:2">
      <c r="A62" s="3">
        <v>7902</v>
      </c>
      <c r="B62" s="3">
        <v>187</v>
      </c>
    </row>
    <row r="63" spans="1:2">
      <c r="A63" s="3">
        <v>8011</v>
      </c>
      <c r="B63" s="3">
        <v>131</v>
      </c>
    </row>
    <row r="64" spans="1:2">
      <c r="A64" s="3">
        <v>8121</v>
      </c>
      <c r="B64" s="3">
        <v>122</v>
      </c>
    </row>
    <row r="65" spans="1:2">
      <c r="A65" s="3">
        <v>8259</v>
      </c>
      <c r="B65" s="3">
        <v>105</v>
      </c>
    </row>
    <row r="66" spans="1:2">
      <c r="A66" s="3">
        <v>8283</v>
      </c>
      <c r="B66" s="3">
        <v>180</v>
      </c>
    </row>
    <row r="67" spans="1:2">
      <c r="A67" s="3">
        <v>8512</v>
      </c>
      <c r="B67" s="3">
        <v>176</v>
      </c>
    </row>
    <row r="68" spans="1:2">
      <c r="A68" s="3">
        <v>8524</v>
      </c>
      <c r="B68" s="3">
        <v>286</v>
      </c>
    </row>
    <row r="69" spans="1:2">
      <c r="A69" s="3">
        <v>9338</v>
      </c>
      <c r="B69" s="3">
        <v>170</v>
      </c>
    </row>
    <row r="70" spans="1:2">
      <c r="A70" s="8">
        <v>771</v>
      </c>
      <c r="B70" s="8">
        <v>93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4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sheetData>
    <row r="1" spans="1:3">
      <c r="A1" s="14" t="s">
        <v>1</v>
      </c>
      <c r="B1" s="1" t="s">
        <v>17</v>
      </c>
      <c r="C1" s="1" t="s">
        <v>18</v>
      </c>
    </row>
    <row r="2" spans="1:3">
      <c r="A2" s="6" t="s">
        <v>79</v>
      </c>
      <c r="B2" s="3">
        <v>771</v>
      </c>
      <c r="C2" s="3">
        <v>93</v>
      </c>
    </row>
    <row r="3" spans="1:3">
      <c r="A3" s="7" t="s">
        <v>412</v>
      </c>
      <c r="B3" s="3">
        <v>1439</v>
      </c>
      <c r="C3" s="3">
        <v>97</v>
      </c>
    </row>
    <row r="4" spans="1:3">
      <c r="A4" s="7" t="s">
        <v>412</v>
      </c>
      <c r="B4" s="3">
        <v>1561</v>
      </c>
      <c r="C4" s="3">
        <v>107</v>
      </c>
    </row>
    <row r="5" spans="1:3">
      <c r="A5" s="7" t="s">
        <v>412</v>
      </c>
      <c r="B5" s="3">
        <v>1613</v>
      </c>
      <c r="C5" s="3">
        <v>108</v>
      </c>
    </row>
    <row r="6" spans="1:3">
      <c r="A6" s="3" t="s">
        <v>166</v>
      </c>
      <c r="B6" s="3">
        <v>1813</v>
      </c>
      <c r="C6" s="3">
        <v>185</v>
      </c>
    </row>
    <row r="7" spans="1:3">
      <c r="A7" s="6" t="s">
        <v>219</v>
      </c>
      <c r="B7" s="3">
        <v>3371</v>
      </c>
      <c r="C7" s="3">
        <v>146</v>
      </c>
    </row>
    <row r="8" spans="1:3">
      <c r="A8" s="8" t="s">
        <v>408</v>
      </c>
      <c r="B8" s="8">
        <v>3551</v>
      </c>
      <c r="C8" s="8">
        <v>51</v>
      </c>
    </row>
    <row r="9" spans="1:3">
      <c r="A9" s="6" t="s">
        <v>419</v>
      </c>
      <c r="B9" s="3">
        <v>4050</v>
      </c>
      <c r="C9" s="3">
        <v>283</v>
      </c>
    </row>
    <row r="10" spans="1:3">
      <c r="A10" s="8" t="s">
        <v>408</v>
      </c>
      <c r="B10" s="8">
        <v>4233</v>
      </c>
      <c r="C10" s="8">
        <v>71</v>
      </c>
    </row>
    <row r="11" spans="1:3">
      <c r="A11" s="6" t="s">
        <v>420</v>
      </c>
      <c r="B11" s="3">
        <v>4244</v>
      </c>
      <c r="C11" s="3">
        <v>145</v>
      </c>
    </row>
    <row r="12" spans="1:3">
      <c r="A12" s="8" t="s">
        <v>407</v>
      </c>
      <c r="B12" s="8">
        <v>4885</v>
      </c>
      <c r="C12" s="8">
        <v>76</v>
      </c>
    </row>
    <row r="13" spans="1:3">
      <c r="A13" s="8" t="s">
        <v>407</v>
      </c>
      <c r="B13" s="8">
        <v>5100</v>
      </c>
      <c r="C13" s="8">
        <v>115</v>
      </c>
    </row>
    <row r="14" spans="1:3">
      <c r="A14" s="8" t="s">
        <v>408</v>
      </c>
      <c r="B14" s="8">
        <v>5108</v>
      </c>
      <c r="C14" s="8">
        <v>114</v>
      </c>
    </row>
    <row r="15" spans="1:3">
      <c r="A15" s="7" t="s">
        <v>411</v>
      </c>
      <c r="B15" s="8">
        <v>5306</v>
      </c>
      <c r="C15" s="8">
        <v>196</v>
      </c>
    </row>
    <row r="16" spans="1:3">
      <c r="A16" s="7" t="s">
        <v>411</v>
      </c>
      <c r="B16" s="3">
        <v>5318</v>
      </c>
      <c r="C16" s="3">
        <v>105</v>
      </c>
    </row>
    <row r="17" spans="1:3">
      <c r="A17" s="8" t="s">
        <v>407</v>
      </c>
      <c r="B17" s="8">
        <v>5344</v>
      </c>
      <c r="C17" s="8">
        <v>61</v>
      </c>
    </row>
    <row r="18" spans="1:3">
      <c r="A18" s="8" t="s">
        <v>407</v>
      </c>
      <c r="B18" s="8">
        <v>5476</v>
      </c>
      <c r="C18" s="8">
        <v>79</v>
      </c>
    </row>
    <row r="19" spans="1:3">
      <c r="A19" s="8" t="s">
        <v>407</v>
      </c>
      <c r="B19" s="8">
        <v>5510</v>
      </c>
      <c r="C19" s="8">
        <v>198</v>
      </c>
    </row>
    <row r="20" spans="1:3">
      <c r="A20" s="7" t="s">
        <v>411</v>
      </c>
      <c r="B20" s="3">
        <v>5647</v>
      </c>
      <c r="C20" s="3">
        <v>94</v>
      </c>
    </row>
    <row r="21" spans="1:3">
      <c r="A21" s="8" t="s">
        <v>407</v>
      </c>
      <c r="B21" s="8">
        <v>5726</v>
      </c>
      <c r="C21" s="8">
        <v>91</v>
      </c>
    </row>
    <row r="22" spans="1:3">
      <c r="A22" s="7" t="s">
        <v>421</v>
      </c>
      <c r="B22" s="3">
        <v>5749</v>
      </c>
      <c r="C22" s="3">
        <v>219</v>
      </c>
    </row>
    <row r="23" spans="1:3">
      <c r="A23" s="8" t="s">
        <v>407</v>
      </c>
      <c r="B23" s="8">
        <v>5785</v>
      </c>
      <c r="C23" s="8">
        <v>228</v>
      </c>
    </row>
    <row r="24" spans="1:3">
      <c r="A24" s="6" t="s">
        <v>422</v>
      </c>
      <c r="B24" s="3">
        <v>5852</v>
      </c>
      <c r="C24" s="3">
        <v>111</v>
      </c>
    </row>
    <row r="25" spans="1:3">
      <c r="A25" s="8" t="s">
        <v>407</v>
      </c>
      <c r="B25" s="8">
        <v>5865</v>
      </c>
      <c r="C25" s="8">
        <v>75</v>
      </c>
    </row>
    <row r="26" spans="1:3">
      <c r="A26" s="7" t="s">
        <v>411</v>
      </c>
      <c r="B26" s="8">
        <v>6092</v>
      </c>
      <c r="C26" s="8">
        <v>185</v>
      </c>
    </row>
    <row r="27" spans="1:3">
      <c r="A27" s="3" t="s">
        <v>367</v>
      </c>
      <c r="B27" s="3">
        <v>6135</v>
      </c>
      <c r="C27" s="3">
        <v>209</v>
      </c>
    </row>
    <row r="28" spans="1:3">
      <c r="A28" s="6" t="s">
        <v>219</v>
      </c>
      <c r="B28" s="3">
        <v>6928</v>
      </c>
      <c r="C28" s="3">
        <v>167</v>
      </c>
    </row>
    <row r="29" spans="1:3">
      <c r="A29" s="3" t="s">
        <v>367</v>
      </c>
      <c r="B29" s="3">
        <v>7392</v>
      </c>
      <c r="C29" s="3">
        <v>205</v>
      </c>
    </row>
    <row r="30" spans="1:3">
      <c r="A30" s="8" t="s">
        <v>407</v>
      </c>
      <c r="B30" s="8">
        <v>7619</v>
      </c>
      <c r="C30" s="8">
        <v>541</v>
      </c>
    </row>
    <row r="31" spans="1:3">
      <c r="A31" s="6" t="s">
        <v>402</v>
      </c>
      <c r="B31" s="3">
        <v>7902</v>
      </c>
      <c r="C31" s="3">
        <v>187</v>
      </c>
    </row>
    <row r="32" spans="1:3">
      <c r="A32" s="6" t="s">
        <v>402</v>
      </c>
      <c r="B32" s="3">
        <v>8283</v>
      </c>
      <c r="C32" s="3">
        <v>180</v>
      </c>
    </row>
    <row r="33" spans="1:3">
      <c r="A33" s="6" t="s">
        <v>403</v>
      </c>
      <c r="B33" s="3">
        <v>8512</v>
      </c>
      <c r="C33" s="3">
        <v>176</v>
      </c>
    </row>
    <row r="34" spans="1:3">
      <c r="A34" s="6" t="s">
        <v>402</v>
      </c>
      <c r="B34" s="3">
        <v>8524</v>
      </c>
      <c r="C34" s="3">
        <v>286</v>
      </c>
    </row>
    <row r="35" spans="1:3">
      <c r="A35" s="8" t="s">
        <v>407</v>
      </c>
      <c r="B35" s="8">
        <v>9885</v>
      </c>
      <c r="C35" s="8">
        <v>618</v>
      </c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52"/>
  <sheetViews>
    <sheetView workbookViewId="0"/>
  </sheetViews>
  <sheetFormatPr defaultColWidth="12.5703125" defaultRowHeight="15.75" customHeight="1"/>
  <cols>
    <col min="1" max="1" width="9.85546875" customWidth="1"/>
    <col min="2" max="2" width="5.42578125" customWidth="1"/>
  </cols>
  <sheetData>
    <row r="1" spans="1:2">
      <c r="A1" s="1" t="s">
        <v>17</v>
      </c>
      <c r="B1" s="1" t="s">
        <v>18</v>
      </c>
    </row>
    <row r="2" spans="1:2">
      <c r="A2" s="3">
        <v>124</v>
      </c>
      <c r="B2" s="3">
        <v>86</v>
      </c>
    </row>
    <row r="3" spans="1:2">
      <c r="A3" s="3">
        <v>413</v>
      </c>
      <c r="B3" s="3">
        <v>62</v>
      </c>
    </row>
    <row r="4" spans="1:2">
      <c r="A4" s="3">
        <v>581</v>
      </c>
      <c r="B4" s="3">
        <v>54</v>
      </c>
    </row>
    <row r="5" spans="1:2">
      <c r="A5" s="3">
        <v>672</v>
      </c>
      <c r="B5" s="3">
        <v>91</v>
      </c>
    </row>
    <row r="6" spans="1:2">
      <c r="A6" s="3">
        <v>708</v>
      </c>
      <c r="B6" s="3">
        <v>64</v>
      </c>
    </row>
    <row r="7" spans="1:2">
      <c r="A7" s="3">
        <v>712</v>
      </c>
      <c r="B7" s="3">
        <v>75</v>
      </c>
    </row>
    <row r="8" spans="1:2">
      <c r="A8" s="3">
        <v>734</v>
      </c>
      <c r="B8" s="3">
        <v>71</v>
      </c>
    </row>
    <row r="9" spans="1:2">
      <c r="A9" s="3">
        <v>747</v>
      </c>
      <c r="B9" s="3">
        <v>60</v>
      </c>
    </row>
    <row r="10" spans="1:2">
      <c r="A10" s="3">
        <v>798</v>
      </c>
      <c r="B10" s="3">
        <v>70</v>
      </c>
    </row>
    <row r="11" spans="1:2">
      <c r="A11" s="3">
        <v>799</v>
      </c>
      <c r="B11" s="3">
        <v>72</v>
      </c>
    </row>
    <row r="12" spans="1:2">
      <c r="A12" s="3">
        <v>890</v>
      </c>
      <c r="B12" s="3">
        <v>140</v>
      </c>
    </row>
    <row r="13" spans="1:2">
      <c r="A13" s="3">
        <v>1033</v>
      </c>
      <c r="B13" s="3">
        <v>110</v>
      </c>
    </row>
    <row r="14" spans="1:2">
      <c r="A14" s="3">
        <v>1046</v>
      </c>
      <c r="B14" s="3">
        <v>128</v>
      </c>
    </row>
    <row r="15" spans="1:2">
      <c r="A15" s="3">
        <v>1116</v>
      </c>
      <c r="B15" s="3">
        <v>103</v>
      </c>
    </row>
    <row r="16" spans="1:2">
      <c r="A16" s="3">
        <v>1119</v>
      </c>
      <c r="B16" s="3">
        <v>32</v>
      </c>
    </row>
    <row r="17" spans="1:2">
      <c r="A17" s="3">
        <v>1128</v>
      </c>
      <c r="B17" s="3">
        <v>121</v>
      </c>
    </row>
    <row r="18" spans="1:2">
      <c r="A18" s="3">
        <v>1285</v>
      </c>
      <c r="B18" s="3">
        <v>58</v>
      </c>
    </row>
    <row r="19" spans="1:2">
      <c r="A19" s="3">
        <v>1286</v>
      </c>
      <c r="B19" s="3">
        <v>47</v>
      </c>
    </row>
    <row r="20" spans="1:2">
      <c r="A20" s="3">
        <v>1411</v>
      </c>
      <c r="B20" s="3">
        <v>60</v>
      </c>
    </row>
    <row r="21" spans="1:2">
      <c r="A21" s="3">
        <v>1423</v>
      </c>
      <c r="B21" s="3">
        <v>85</v>
      </c>
    </row>
    <row r="22" spans="1:2">
      <c r="A22" s="3">
        <v>1439</v>
      </c>
      <c r="B22" s="3">
        <v>97</v>
      </c>
    </row>
    <row r="23" spans="1:2">
      <c r="A23" s="3">
        <v>1439</v>
      </c>
      <c r="B23" s="3">
        <v>97</v>
      </c>
    </row>
    <row r="24" spans="1:2">
      <c r="A24" s="3">
        <v>1492</v>
      </c>
      <c r="B24" s="3">
        <v>98</v>
      </c>
    </row>
    <row r="25" spans="1:2">
      <c r="A25" s="3">
        <v>1516</v>
      </c>
      <c r="B25" s="3">
        <v>132</v>
      </c>
    </row>
    <row r="26" spans="1:2">
      <c r="A26" s="3">
        <v>1561</v>
      </c>
      <c r="B26" s="3">
        <v>107</v>
      </c>
    </row>
    <row r="27" spans="1:2">
      <c r="A27" s="3">
        <v>1603</v>
      </c>
      <c r="B27" s="3">
        <v>108</v>
      </c>
    </row>
    <row r="28" spans="1:2">
      <c r="A28" s="3">
        <v>1613</v>
      </c>
      <c r="B28" s="3">
        <v>108</v>
      </c>
    </row>
    <row r="29" spans="1:2">
      <c r="A29" s="3">
        <v>1716</v>
      </c>
      <c r="B29" s="3">
        <v>120</v>
      </c>
    </row>
    <row r="30" spans="1:2">
      <c r="A30" s="3">
        <v>1795</v>
      </c>
      <c r="B30" s="3">
        <v>183</v>
      </c>
    </row>
    <row r="31" spans="1:2">
      <c r="A31" s="3">
        <v>1810</v>
      </c>
      <c r="B31" s="3">
        <v>111</v>
      </c>
    </row>
    <row r="32" spans="1:2">
      <c r="A32" s="3">
        <v>1813</v>
      </c>
      <c r="B32" s="3">
        <v>185</v>
      </c>
    </row>
    <row r="33" spans="1:2">
      <c r="A33" s="3">
        <v>1875</v>
      </c>
      <c r="B33" s="3">
        <v>93</v>
      </c>
    </row>
    <row r="34" spans="1:2">
      <c r="A34" s="3">
        <v>1878</v>
      </c>
      <c r="B34" s="3">
        <v>67</v>
      </c>
    </row>
    <row r="35" spans="1:2">
      <c r="A35" s="3">
        <v>2011</v>
      </c>
      <c r="B35" s="3">
        <v>36</v>
      </c>
    </row>
    <row r="36" spans="1:2">
      <c r="A36" s="3">
        <v>2044</v>
      </c>
      <c r="B36" s="3">
        <v>33</v>
      </c>
    </row>
    <row r="37" spans="1:2">
      <c r="A37" s="3">
        <v>2054</v>
      </c>
      <c r="B37" s="3">
        <v>34</v>
      </c>
    </row>
    <row r="38" spans="1:2">
      <c r="A38" s="3">
        <v>2060</v>
      </c>
      <c r="B38" s="3">
        <v>40</v>
      </c>
    </row>
    <row r="39" spans="1:2">
      <c r="A39" s="3">
        <v>2062</v>
      </c>
      <c r="B39" s="3">
        <v>83</v>
      </c>
    </row>
    <row r="40" spans="1:2">
      <c r="A40" s="3">
        <v>2089</v>
      </c>
      <c r="B40" s="3">
        <v>113</v>
      </c>
    </row>
    <row r="41" spans="1:2">
      <c r="A41" s="3">
        <v>2112</v>
      </c>
      <c r="B41" s="3">
        <v>131</v>
      </c>
    </row>
    <row r="42" spans="1:2">
      <c r="A42" s="3">
        <v>2166</v>
      </c>
      <c r="B42" s="3">
        <v>140</v>
      </c>
    </row>
    <row r="43" spans="1:2">
      <c r="A43" s="3">
        <v>2201</v>
      </c>
      <c r="B43" s="3">
        <v>73</v>
      </c>
    </row>
    <row r="44" spans="1:2">
      <c r="A44" s="3">
        <v>2302</v>
      </c>
      <c r="B44" s="3">
        <v>190</v>
      </c>
    </row>
    <row r="45" spans="1:2">
      <c r="A45" s="3">
        <v>2430</v>
      </c>
      <c r="B45" s="3">
        <v>62</v>
      </c>
    </row>
    <row r="46" spans="1:2">
      <c r="A46" s="3">
        <v>2823</v>
      </c>
      <c r="B46" s="3">
        <v>56</v>
      </c>
    </row>
    <row r="47" spans="1:2">
      <c r="A47" s="3">
        <v>2987</v>
      </c>
      <c r="B47" s="3">
        <v>132</v>
      </c>
    </row>
    <row r="48" spans="1:2">
      <c r="A48" s="3">
        <v>3020</v>
      </c>
      <c r="B48" s="3">
        <v>138</v>
      </c>
    </row>
    <row r="49" spans="1:2">
      <c r="A49" s="3">
        <v>3115</v>
      </c>
      <c r="B49" s="3">
        <v>164</v>
      </c>
    </row>
    <row r="50" spans="1:2">
      <c r="A50" s="3">
        <v>3135</v>
      </c>
      <c r="B50" s="3">
        <v>144</v>
      </c>
    </row>
    <row r="51" spans="1:2">
      <c r="A51" s="3">
        <v>3233</v>
      </c>
      <c r="B51" s="3">
        <v>137</v>
      </c>
    </row>
    <row r="52" spans="1:2">
      <c r="A52" s="3">
        <v>3315</v>
      </c>
      <c r="B52" s="3">
        <v>79</v>
      </c>
    </row>
    <row r="53" spans="1:2">
      <c r="A53" s="3">
        <v>3371</v>
      </c>
      <c r="B53" s="3">
        <v>146</v>
      </c>
    </row>
    <row r="54" spans="1:2">
      <c r="A54" s="3">
        <v>3399</v>
      </c>
      <c r="B54" s="3">
        <v>75</v>
      </c>
    </row>
    <row r="55" spans="1:2">
      <c r="A55" s="3">
        <v>3468</v>
      </c>
      <c r="B55" s="3">
        <v>94</v>
      </c>
    </row>
    <row r="56" spans="1:2">
      <c r="A56" s="3">
        <v>3493</v>
      </c>
      <c r="B56" s="3">
        <v>59</v>
      </c>
    </row>
    <row r="57" spans="1:2">
      <c r="A57" s="3">
        <v>3503</v>
      </c>
      <c r="B57" s="3">
        <v>121</v>
      </c>
    </row>
    <row r="58" spans="1:2">
      <c r="A58" s="3">
        <v>3557</v>
      </c>
      <c r="B58" s="3">
        <v>127</v>
      </c>
    </row>
    <row r="59" spans="1:2">
      <c r="A59" s="3">
        <v>3600</v>
      </c>
      <c r="B59" s="3">
        <v>139</v>
      </c>
    </row>
    <row r="60" spans="1:2">
      <c r="A60" s="3">
        <v>3624</v>
      </c>
      <c r="B60" s="3">
        <v>96</v>
      </c>
    </row>
    <row r="61" spans="1:2">
      <c r="A61" s="3">
        <v>3633</v>
      </c>
      <c r="B61" s="3">
        <v>87</v>
      </c>
    </row>
    <row r="62" spans="1:2">
      <c r="A62" s="3">
        <v>3650</v>
      </c>
      <c r="B62" s="3">
        <v>141</v>
      </c>
    </row>
    <row r="63" spans="1:2">
      <c r="A63" s="3">
        <v>3736</v>
      </c>
      <c r="B63" s="3">
        <v>84</v>
      </c>
    </row>
    <row r="64" spans="1:2">
      <c r="A64" s="3">
        <v>3747</v>
      </c>
      <c r="B64" s="3">
        <v>102</v>
      </c>
    </row>
    <row r="65" spans="1:2">
      <c r="A65" s="3">
        <v>3749</v>
      </c>
      <c r="B65" s="3">
        <v>121</v>
      </c>
    </row>
    <row r="66" spans="1:2">
      <c r="A66" s="3">
        <v>3753</v>
      </c>
      <c r="B66" s="3">
        <v>90</v>
      </c>
    </row>
    <row r="67" spans="1:2">
      <c r="A67" s="3">
        <v>3792</v>
      </c>
      <c r="B67" s="3">
        <v>116</v>
      </c>
    </row>
    <row r="68" spans="1:2">
      <c r="A68" s="3">
        <v>3792</v>
      </c>
      <c r="B68" s="3">
        <v>111</v>
      </c>
    </row>
    <row r="69" spans="1:2">
      <c r="A69" s="3">
        <v>3926</v>
      </c>
      <c r="B69" s="3">
        <v>130</v>
      </c>
    </row>
    <row r="70" spans="1:2">
      <c r="A70" s="3">
        <v>3953</v>
      </c>
      <c r="B70" s="3">
        <v>123</v>
      </c>
    </row>
    <row r="71" spans="1:2">
      <c r="A71" s="3">
        <v>3980</v>
      </c>
      <c r="B71" s="3">
        <v>109</v>
      </c>
    </row>
    <row r="72" spans="1:2">
      <c r="A72" s="3">
        <v>4026</v>
      </c>
      <c r="B72" s="3">
        <v>185</v>
      </c>
    </row>
    <row r="73" spans="1:2">
      <c r="A73" s="3">
        <v>4050</v>
      </c>
      <c r="B73" s="3">
        <v>283</v>
      </c>
    </row>
    <row r="74" spans="1:2">
      <c r="A74" s="3">
        <v>4051</v>
      </c>
      <c r="B74" s="3">
        <v>126</v>
      </c>
    </row>
    <row r="75" spans="1:2">
      <c r="A75" s="3">
        <v>4064</v>
      </c>
      <c r="B75" s="3">
        <v>120</v>
      </c>
    </row>
    <row r="76" spans="1:2">
      <c r="A76" s="3">
        <v>4108</v>
      </c>
      <c r="B76" s="3">
        <v>159</v>
      </c>
    </row>
    <row r="77" spans="1:2">
      <c r="A77" s="3">
        <v>4160</v>
      </c>
      <c r="B77" s="3">
        <v>154</v>
      </c>
    </row>
    <row r="78" spans="1:2">
      <c r="A78" s="3">
        <v>4230</v>
      </c>
      <c r="B78" s="3">
        <v>104</v>
      </c>
    </row>
    <row r="79" spans="1:2">
      <c r="A79" s="3">
        <v>4244</v>
      </c>
      <c r="B79" s="3">
        <v>145</v>
      </c>
    </row>
    <row r="80" spans="1:2">
      <c r="A80" s="3">
        <v>4266</v>
      </c>
      <c r="B80" s="3">
        <v>111</v>
      </c>
    </row>
    <row r="81" spans="1:2">
      <c r="A81" s="3">
        <v>4351</v>
      </c>
      <c r="B81" s="3">
        <v>48</v>
      </c>
    </row>
    <row r="82" spans="1:2">
      <c r="A82" s="3">
        <v>4486</v>
      </c>
      <c r="B82" s="3">
        <v>95</v>
      </c>
    </row>
    <row r="83" spans="1:2">
      <c r="A83" s="3">
        <v>4521</v>
      </c>
      <c r="B83" s="3">
        <v>138</v>
      </c>
    </row>
    <row r="84" spans="1:2">
      <c r="A84" s="3">
        <v>4544</v>
      </c>
      <c r="B84" s="3">
        <v>310</v>
      </c>
    </row>
    <row r="85" spans="1:2">
      <c r="A85" s="3">
        <v>4660</v>
      </c>
      <c r="B85" s="3">
        <v>111</v>
      </c>
    </row>
    <row r="86" spans="1:2">
      <c r="A86" s="3">
        <v>4709</v>
      </c>
      <c r="B86" s="3">
        <v>100</v>
      </c>
    </row>
    <row r="87" spans="1:2">
      <c r="A87" s="3">
        <v>4715</v>
      </c>
      <c r="B87" s="3">
        <v>144</v>
      </c>
    </row>
    <row r="88" spans="1:2">
      <c r="A88" s="3">
        <v>4732</v>
      </c>
      <c r="B88" s="3">
        <v>315</v>
      </c>
    </row>
    <row r="89" spans="1:2">
      <c r="A89" s="3">
        <v>4760</v>
      </c>
      <c r="B89" s="3">
        <v>155</v>
      </c>
    </row>
    <row r="90" spans="1:2">
      <c r="A90" s="3">
        <v>4807</v>
      </c>
      <c r="B90" s="3">
        <v>125</v>
      </c>
    </row>
    <row r="91" spans="1:2">
      <c r="A91" s="3">
        <v>4822</v>
      </c>
      <c r="B91" s="3">
        <v>174</v>
      </c>
    </row>
    <row r="92" spans="1:2">
      <c r="A92" s="3">
        <v>4851</v>
      </c>
      <c r="B92" s="3">
        <v>129</v>
      </c>
    </row>
    <row r="93" spans="1:2">
      <c r="A93" s="3">
        <v>4895</v>
      </c>
      <c r="B93" s="3">
        <v>128</v>
      </c>
    </row>
    <row r="94" spans="1:2">
      <c r="A94" s="3">
        <v>4973</v>
      </c>
      <c r="B94" s="3">
        <v>149</v>
      </c>
    </row>
    <row r="95" spans="1:2">
      <c r="A95" s="3">
        <v>5004</v>
      </c>
      <c r="B95" s="3">
        <v>115</v>
      </c>
    </row>
    <row r="96" spans="1:2">
      <c r="A96" s="3">
        <v>5054</v>
      </c>
      <c r="B96" s="3">
        <v>133</v>
      </c>
    </row>
    <row r="97" spans="1:2">
      <c r="A97" s="3">
        <v>5063</v>
      </c>
      <c r="B97" s="3">
        <v>172</v>
      </c>
    </row>
    <row r="98" spans="1:2">
      <c r="A98" s="3">
        <v>5076</v>
      </c>
      <c r="B98" s="3">
        <v>134</v>
      </c>
    </row>
    <row r="99" spans="1:2">
      <c r="A99" s="3">
        <v>5083</v>
      </c>
      <c r="B99" s="3">
        <v>142</v>
      </c>
    </row>
    <row r="100" spans="1:2">
      <c r="A100" s="3">
        <v>5108</v>
      </c>
      <c r="B100" s="3">
        <v>142</v>
      </c>
    </row>
    <row r="101" spans="1:2">
      <c r="A101" s="3">
        <v>5122</v>
      </c>
      <c r="B101" s="3">
        <v>131</v>
      </c>
    </row>
    <row r="102" spans="1:2">
      <c r="A102" s="3">
        <v>5137</v>
      </c>
      <c r="B102" s="3">
        <v>129</v>
      </c>
    </row>
    <row r="103" spans="1:2">
      <c r="A103" s="3">
        <v>5149</v>
      </c>
      <c r="B103" s="3">
        <v>153</v>
      </c>
    </row>
    <row r="104" spans="1:2">
      <c r="A104" s="3">
        <v>5165</v>
      </c>
      <c r="B104" s="3">
        <v>179</v>
      </c>
    </row>
    <row r="105" spans="1:2">
      <c r="A105" s="3">
        <v>5171</v>
      </c>
      <c r="B105" s="3">
        <v>156</v>
      </c>
    </row>
    <row r="106" spans="1:2">
      <c r="A106" s="3">
        <v>5191</v>
      </c>
      <c r="B106" s="3">
        <v>144</v>
      </c>
    </row>
    <row r="107" spans="1:2">
      <c r="A107" s="3">
        <v>5194</v>
      </c>
      <c r="B107" s="3">
        <v>159</v>
      </c>
    </row>
    <row r="108" spans="1:2">
      <c r="A108" s="3">
        <v>5206</v>
      </c>
      <c r="B108" s="3">
        <v>153</v>
      </c>
    </row>
    <row r="109" spans="1:2">
      <c r="A109" s="3">
        <v>5288</v>
      </c>
      <c r="B109" s="3">
        <v>171</v>
      </c>
    </row>
    <row r="110" spans="1:2">
      <c r="A110" s="3">
        <v>5318</v>
      </c>
      <c r="B110" s="3">
        <v>105</v>
      </c>
    </row>
    <row r="111" spans="1:2">
      <c r="A111" s="3">
        <v>5401</v>
      </c>
      <c r="B111" s="3">
        <v>61</v>
      </c>
    </row>
    <row r="112" spans="1:2">
      <c r="A112" s="3">
        <v>5439</v>
      </c>
      <c r="B112" s="3">
        <v>96</v>
      </c>
    </row>
    <row r="113" spans="1:2">
      <c r="A113" s="3">
        <v>5451</v>
      </c>
      <c r="B113" s="3">
        <v>113</v>
      </c>
    </row>
    <row r="114" spans="1:2">
      <c r="A114" s="3">
        <v>5466</v>
      </c>
      <c r="B114" s="3">
        <v>138</v>
      </c>
    </row>
    <row r="115" spans="1:2">
      <c r="A115" s="3">
        <v>5486</v>
      </c>
      <c r="B115" s="3">
        <v>92</v>
      </c>
    </row>
    <row r="116" spans="1:2">
      <c r="A116" s="3">
        <v>5531</v>
      </c>
      <c r="B116" s="3">
        <v>117</v>
      </c>
    </row>
    <row r="117" spans="1:2">
      <c r="A117" s="3">
        <v>5595</v>
      </c>
      <c r="B117" s="3">
        <v>96</v>
      </c>
    </row>
    <row r="118" spans="1:2">
      <c r="A118" s="3">
        <v>5600</v>
      </c>
      <c r="B118" s="3">
        <v>124</v>
      </c>
    </row>
    <row r="119" spans="1:2">
      <c r="A119" s="3">
        <v>5629</v>
      </c>
      <c r="B119" s="3">
        <v>123</v>
      </c>
    </row>
    <row r="120" spans="1:2">
      <c r="A120" s="3">
        <v>5647</v>
      </c>
      <c r="B120" s="3">
        <v>94</v>
      </c>
    </row>
    <row r="121" spans="1:2">
      <c r="A121" s="3">
        <v>5656</v>
      </c>
      <c r="B121" s="3">
        <v>112</v>
      </c>
    </row>
    <row r="122" spans="1:2">
      <c r="A122" s="3">
        <v>5692</v>
      </c>
      <c r="B122" s="3">
        <v>47</v>
      </c>
    </row>
    <row r="123" spans="1:2">
      <c r="A123" s="3">
        <v>5710</v>
      </c>
      <c r="B123" s="3">
        <v>97</v>
      </c>
    </row>
    <row r="124" spans="1:2">
      <c r="A124" s="3">
        <v>5749</v>
      </c>
      <c r="B124" s="3">
        <v>219</v>
      </c>
    </row>
    <row r="125" spans="1:2">
      <c r="A125" s="3">
        <v>5768</v>
      </c>
      <c r="B125" s="3">
        <v>146</v>
      </c>
    </row>
    <row r="126" spans="1:2">
      <c r="A126" s="3">
        <v>5773</v>
      </c>
      <c r="B126" s="3">
        <v>71</v>
      </c>
    </row>
    <row r="127" spans="1:2">
      <c r="A127" s="3">
        <v>5786</v>
      </c>
      <c r="B127" s="3">
        <v>69</v>
      </c>
    </row>
    <row r="128" spans="1:2">
      <c r="A128" s="3">
        <v>5852</v>
      </c>
      <c r="B128" s="3">
        <v>111</v>
      </c>
    </row>
    <row r="129" spans="1:2">
      <c r="A129" s="3">
        <v>5955</v>
      </c>
      <c r="B129" s="3">
        <v>28</v>
      </c>
    </row>
    <row r="130" spans="1:2">
      <c r="A130" s="3">
        <v>6135</v>
      </c>
      <c r="B130" s="3">
        <v>209</v>
      </c>
    </row>
    <row r="131" spans="1:2">
      <c r="A131" s="3">
        <v>6928</v>
      </c>
      <c r="B131" s="3">
        <v>167</v>
      </c>
    </row>
    <row r="132" spans="1:2">
      <c r="A132" s="3">
        <v>7392</v>
      </c>
      <c r="B132" s="3">
        <v>205</v>
      </c>
    </row>
    <row r="133" spans="1:2">
      <c r="A133" s="3">
        <v>7901</v>
      </c>
      <c r="B133" s="3">
        <v>115</v>
      </c>
    </row>
    <row r="134" spans="1:2">
      <c r="A134" s="3">
        <v>7902</v>
      </c>
      <c r="B134" s="3">
        <v>187</v>
      </c>
    </row>
    <row r="135" spans="1:2">
      <c r="A135" s="3">
        <v>8011</v>
      </c>
      <c r="B135" s="3">
        <v>131</v>
      </c>
    </row>
    <row r="136" spans="1:2">
      <c r="A136" s="3">
        <v>8121</v>
      </c>
      <c r="B136" s="3">
        <v>122</v>
      </c>
    </row>
    <row r="137" spans="1:2">
      <c r="A137" s="3">
        <v>8259</v>
      </c>
      <c r="B137" s="3">
        <v>105</v>
      </c>
    </row>
    <row r="138" spans="1:2">
      <c r="A138" s="3">
        <v>8283</v>
      </c>
      <c r="B138" s="3">
        <v>180</v>
      </c>
    </row>
    <row r="139" spans="1:2">
      <c r="A139" s="3">
        <v>8512</v>
      </c>
      <c r="B139" s="3">
        <v>176</v>
      </c>
    </row>
    <row r="140" spans="1:2">
      <c r="A140" s="3">
        <v>8524</v>
      </c>
      <c r="B140" s="3">
        <v>286</v>
      </c>
    </row>
    <row r="141" spans="1:2">
      <c r="A141" s="3">
        <v>9338</v>
      </c>
      <c r="B141" s="3">
        <v>170</v>
      </c>
    </row>
    <row r="142" spans="1:2">
      <c r="A142" s="3">
        <v>9625</v>
      </c>
      <c r="B142" s="3">
        <v>127</v>
      </c>
    </row>
    <row r="143" spans="1:2">
      <c r="A143" s="3">
        <v>9724</v>
      </c>
      <c r="B143" s="3">
        <v>157</v>
      </c>
    </row>
    <row r="144" spans="1:2">
      <c r="A144" s="3"/>
      <c r="B144" s="3"/>
    </row>
    <row r="145" spans="1:2">
      <c r="A145" s="3"/>
      <c r="B145" s="3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47"/>
  <sheetViews>
    <sheetView workbookViewId="0"/>
  </sheetViews>
  <sheetFormatPr defaultColWidth="12.5703125" defaultRowHeight="15.75" customHeight="1"/>
  <cols>
    <col min="2" max="2" width="10" customWidth="1"/>
    <col min="3" max="3" width="5.7109375" customWidth="1"/>
  </cols>
  <sheetData>
    <row r="1" spans="1:3">
      <c r="A1" s="14" t="s">
        <v>1</v>
      </c>
      <c r="B1" s="1" t="s">
        <v>17</v>
      </c>
      <c r="C1" s="1" t="s">
        <v>18</v>
      </c>
    </row>
    <row r="2" spans="1:3">
      <c r="A2" s="8" t="s">
        <v>84</v>
      </c>
      <c r="B2" s="8">
        <v>3860</v>
      </c>
      <c r="C2" s="8">
        <v>589</v>
      </c>
    </row>
    <row r="3" spans="1:3">
      <c r="A3" s="8" t="s">
        <v>84</v>
      </c>
      <c r="B3" s="8">
        <v>4404</v>
      </c>
      <c r="C3" s="8">
        <v>141</v>
      </c>
    </row>
    <row r="4" spans="1:3">
      <c r="A4" s="8" t="s">
        <v>84</v>
      </c>
      <c r="B4" s="8">
        <v>338</v>
      </c>
      <c r="C4" s="8">
        <v>575</v>
      </c>
    </row>
    <row r="5" spans="1:3">
      <c r="A5" s="8" t="s">
        <v>84</v>
      </c>
      <c r="B5" s="8">
        <v>3680</v>
      </c>
      <c r="C5" s="8">
        <v>108</v>
      </c>
    </row>
    <row r="6" spans="1:3">
      <c r="A6" s="8" t="s">
        <v>84</v>
      </c>
      <c r="B6" s="8">
        <v>2622</v>
      </c>
      <c r="C6" s="8">
        <v>88</v>
      </c>
    </row>
    <row r="7" spans="1:3">
      <c r="A7" s="8" t="s">
        <v>84</v>
      </c>
      <c r="B7" s="8">
        <v>3595</v>
      </c>
      <c r="C7" s="8">
        <v>75</v>
      </c>
    </row>
    <row r="8" spans="1:3">
      <c r="A8" s="8" t="s">
        <v>84</v>
      </c>
      <c r="B8" s="8">
        <v>5455</v>
      </c>
      <c r="C8" s="8">
        <v>356</v>
      </c>
    </row>
    <row r="9" spans="1:3">
      <c r="A9" s="8" t="s">
        <v>84</v>
      </c>
      <c r="B9" s="8">
        <v>2564</v>
      </c>
      <c r="C9" s="8">
        <v>332</v>
      </c>
    </row>
    <row r="10" spans="1:3">
      <c r="A10" s="8" t="s">
        <v>84</v>
      </c>
      <c r="B10" s="8">
        <v>4692</v>
      </c>
      <c r="C10" s="8">
        <v>350</v>
      </c>
    </row>
    <row r="11" spans="1:3">
      <c r="A11" s="8" t="s">
        <v>84</v>
      </c>
      <c r="B11" s="8">
        <v>3833</v>
      </c>
      <c r="C11" s="8">
        <v>276</v>
      </c>
    </row>
    <row r="12" spans="1:3">
      <c r="A12" s="8" t="s">
        <v>409</v>
      </c>
      <c r="B12" s="8">
        <v>1430</v>
      </c>
      <c r="C12" s="8">
        <v>55</v>
      </c>
    </row>
    <row r="13" spans="1:3">
      <c r="A13" s="8" t="s">
        <v>409</v>
      </c>
      <c r="B13" s="3">
        <v>747</v>
      </c>
      <c r="C13" s="3">
        <v>60</v>
      </c>
    </row>
    <row r="14" spans="1:3">
      <c r="A14" s="8" t="s">
        <v>409</v>
      </c>
      <c r="B14" s="8">
        <v>1603</v>
      </c>
      <c r="C14" s="8">
        <v>108</v>
      </c>
    </row>
    <row r="15" spans="1:3">
      <c r="A15" s="8" t="s">
        <v>409</v>
      </c>
      <c r="B15" s="8">
        <v>1795</v>
      </c>
      <c r="C15" s="8">
        <v>183</v>
      </c>
    </row>
    <row r="16" spans="1:3">
      <c r="A16" s="8" t="s">
        <v>410</v>
      </c>
      <c r="B16" s="3">
        <v>413</v>
      </c>
      <c r="C16" s="3">
        <v>62</v>
      </c>
    </row>
    <row r="17" spans="1:3">
      <c r="A17" s="8" t="s">
        <v>410</v>
      </c>
      <c r="B17" s="3">
        <v>672</v>
      </c>
      <c r="C17" s="3">
        <v>91</v>
      </c>
    </row>
    <row r="18" spans="1:3">
      <c r="A18" s="8" t="s">
        <v>410</v>
      </c>
      <c r="B18" s="3">
        <v>708</v>
      </c>
      <c r="C18" s="3">
        <v>64</v>
      </c>
    </row>
    <row r="19" spans="1:3">
      <c r="A19" s="8" t="s">
        <v>410</v>
      </c>
      <c r="B19" s="3">
        <v>799</v>
      </c>
      <c r="C19" s="3">
        <v>72</v>
      </c>
    </row>
    <row r="20" spans="1:3">
      <c r="A20" s="8" t="s">
        <v>410</v>
      </c>
      <c r="B20" s="3">
        <v>1286</v>
      </c>
      <c r="C20" s="3">
        <v>47</v>
      </c>
    </row>
    <row r="21" spans="1:3">
      <c r="A21" s="8" t="s">
        <v>410</v>
      </c>
      <c r="B21" s="3">
        <v>1716</v>
      </c>
      <c r="C21" s="3">
        <v>120</v>
      </c>
    </row>
    <row r="22" spans="1:3">
      <c r="A22" s="8" t="s">
        <v>410</v>
      </c>
      <c r="B22" s="3">
        <v>2987</v>
      </c>
      <c r="C22" s="3">
        <v>132</v>
      </c>
    </row>
    <row r="23" spans="1:3">
      <c r="A23" s="8" t="s">
        <v>410</v>
      </c>
      <c r="B23" s="3">
        <v>3753</v>
      </c>
      <c r="C23" s="3">
        <v>90</v>
      </c>
    </row>
    <row r="24" spans="1:3">
      <c r="A24" s="7" t="s">
        <v>413</v>
      </c>
      <c r="B24" s="8">
        <v>124</v>
      </c>
      <c r="C24" s="8">
        <v>86</v>
      </c>
    </row>
    <row r="25" spans="1:3">
      <c r="A25" s="6" t="s">
        <v>51</v>
      </c>
      <c r="B25" s="3">
        <v>581</v>
      </c>
      <c r="C25" s="3">
        <v>54</v>
      </c>
    </row>
    <row r="26" spans="1:3">
      <c r="A26" s="6" t="s">
        <v>51</v>
      </c>
      <c r="B26" s="3">
        <v>1119</v>
      </c>
      <c r="C26" s="3">
        <v>32</v>
      </c>
    </row>
    <row r="27" spans="1:3">
      <c r="A27" s="7" t="s">
        <v>414</v>
      </c>
      <c r="B27" s="3">
        <v>712</v>
      </c>
      <c r="C27" s="3">
        <v>75</v>
      </c>
    </row>
    <row r="28" spans="1:3">
      <c r="A28" s="7" t="s">
        <v>414</v>
      </c>
      <c r="B28" s="3">
        <v>734</v>
      </c>
      <c r="C28" s="3">
        <v>71</v>
      </c>
    </row>
    <row r="29" spans="1:3">
      <c r="A29" s="7" t="s">
        <v>414</v>
      </c>
      <c r="B29" s="3">
        <v>890</v>
      </c>
      <c r="C29" s="3">
        <v>140</v>
      </c>
    </row>
    <row r="30" spans="1:3">
      <c r="A30" s="7" t="s">
        <v>414</v>
      </c>
      <c r="B30" s="3">
        <v>1046</v>
      </c>
      <c r="C30" s="3">
        <v>128</v>
      </c>
    </row>
    <row r="31" spans="1:3">
      <c r="A31" s="7" t="s">
        <v>416</v>
      </c>
      <c r="B31" s="3">
        <v>1285</v>
      </c>
      <c r="C31" s="3">
        <v>58</v>
      </c>
    </row>
    <row r="32" spans="1:3">
      <c r="A32" s="3" t="s">
        <v>417</v>
      </c>
      <c r="B32" s="3">
        <v>1516</v>
      </c>
      <c r="C32" s="3">
        <v>132</v>
      </c>
    </row>
    <row r="33" spans="1:3">
      <c r="A33" s="7" t="s">
        <v>418</v>
      </c>
      <c r="B33" s="3">
        <v>3115</v>
      </c>
      <c r="C33" s="3">
        <v>164</v>
      </c>
    </row>
    <row r="34" spans="1:3">
      <c r="A34" s="7" t="s">
        <v>418</v>
      </c>
      <c r="B34" s="3">
        <v>3135</v>
      </c>
      <c r="C34" s="3">
        <v>144</v>
      </c>
    </row>
    <row r="35" spans="1:3">
      <c r="A35" s="7" t="s">
        <v>418</v>
      </c>
      <c r="B35" s="3">
        <v>3468</v>
      </c>
      <c r="C35" s="3">
        <v>94</v>
      </c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>
      <c r="A47" s="7"/>
      <c r="B47" s="7"/>
      <c r="C47" s="7"/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68"/>
  <sheetViews>
    <sheetView workbookViewId="0"/>
  </sheetViews>
  <sheetFormatPr defaultColWidth="12.5703125" defaultRowHeight="15.75" customHeight="1"/>
  <cols>
    <col min="1" max="1" width="10" customWidth="1"/>
    <col min="2" max="2" width="5.7109375" customWidth="1"/>
  </cols>
  <sheetData>
    <row r="1" spans="1:2">
      <c r="A1" s="1" t="s">
        <v>17</v>
      </c>
      <c r="B1" s="1" t="s">
        <v>18</v>
      </c>
    </row>
    <row r="2" spans="1:2">
      <c r="A2" s="3">
        <v>124</v>
      </c>
      <c r="B2" s="3">
        <v>86</v>
      </c>
    </row>
    <row r="3" spans="1:2">
      <c r="A3" s="3">
        <v>413</v>
      </c>
      <c r="B3" s="3">
        <v>62</v>
      </c>
    </row>
    <row r="4" spans="1:2">
      <c r="A4" s="3">
        <v>672</v>
      </c>
      <c r="B4" s="3">
        <v>91</v>
      </c>
    </row>
    <row r="5" spans="1:2">
      <c r="A5" s="3">
        <v>708</v>
      </c>
      <c r="B5" s="3">
        <v>64</v>
      </c>
    </row>
    <row r="6" spans="1:2">
      <c r="A6" s="3">
        <v>712</v>
      </c>
      <c r="B6" s="3">
        <v>75</v>
      </c>
    </row>
    <row r="7" spans="1:2">
      <c r="A7" s="3">
        <v>734</v>
      </c>
      <c r="B7" s="3">
        <v>71</v>
      </c>
    </row>
    <row r="8" spans="1:2">
      <c r="A8" s="3">
        <v>747</v>
      </c>
      <c r="B8" s="3">
        <v>60</v>
      </c>
    </row>
    <row r="9" spans="1:2">
      <c r="A9" s="3">
        <v>798</v>
      </c>
      <c r="B9" s="3">
        <v>70</v>
      </c>
    </row>
    <row r="10" spans="1:2">
      <c r="A10" s="3">
        <v>799</v>
      </c>
      <c r="B10" s="3">
        <v>72</v>
      </c>
    </row>
    <row r="11" spans="1:2">
      <c r="A11" s="3">
        <v>890</v>
      </c>
      <c r="B11" s="3">
        <v>140</v>
      </c>
    </row>
    <row r="12" spans="1:2">
      <c r="A12" s="3">
        <v>1046</v>
      </c>
      <c r="B12" s="3">
        <v>128</v>
      </c>
    </row>
    <row r="13" spans="1:2">
      <c r="A13" s="3">
        <v>1116</v>
      </c>
      <c r="B13" s="3">
        <v>103</v>
      </c>
    </row>
    <row r="14" spans="1:2">
      <c r="A14" s="3">
        <v>1285</v>
      </c>
      <c r="B14" s="3">
        <v>58</v>
      </c>
    </row>
    <row r="15" spans="1:2">
      <c r="A15" s="3">
        <v>1286</v>
      </c>
      <c r="B15" s="3">
        <v>47</v>
      </c>
    </row>
    <row r="16" spans="1:2">
      <c r="A16" s="3">
        <v>1411</v>
      </c>
      <c r="B16" s="3">
        <v>60</v>
      </c>
    </row>
    <row r="17" spans="1:2">
      <c r="A17" s="3">
        <v>1492</v>
      </c>
      <c r="B17" s="3">
        <v>98</v>
      </c>
    </row>
    <row r="18" spans="1:2">
      <c r="A18" s="3">
        <v>1516</v>
      </c>
      <c r="B18" s="3">
        <v>132</v>
      </c>
    </row>
    <row r="19" spans="1:2">
      <c r="A19" s="3">
        <v>1603</v>
      </c>
      <c r="B19" s="3">
        <v>108</v>
      </c>
    </row>
    <row r="20" spans="1:2">
      <c r="A20" s="3">
        <v>1716</v>
      </c>
      <c r="B20" s="3">
        <v>120</v>
      </c>
    </row>
    <row r="21" spans="1:2">
      <c r="A21" s="3">
        <v>1795</v>
      </c>
      <c r="B21" s="3">
        <v>183</v>
      </c>
    </row>
    <row r="22" spans="1:2">
      <c r="A22" s="3">
        <v>1878</v>
      </c>
      <c r="B22" s="3">
        <v>67</v>
      </c>
    </row>
    <row r="23" spans="1:2">
      <c r="A23" s="3">
        <v>2089</v>
      </c>
      <c r="B23" s="3">
        <v>113</v>
      </c>
    </row>
    <row r="24" spans="1:2">
      <c r="A24" s="3">
        <v>2112</v>
      </c>
      <c r="B24" s="3">
        <v>131</v>
      </c>
    </row>
    <row r="25" spans="1:2">
      <c r="A25" s="3">
        <v>2166</v>
      </c>
      <c r="B25" s="3">
        <v>140</v>
      </c>
    </row>
    <row r="26" spans="1:2">
      <c r="A26" s="3">
        <v>2201</v>
      </c>
      <c r="B26" s="3">
        <v>73</v>
      </c>
    </row>
    <row r="27" spans="1:2">
      <c r="A27" s="3">
        <v>2302</v>
      </c>
      <c r="B27" s="3">
        <v>190</v>
      </c>
    </row>
    <row r="28" spans="1:2">
      <c r="A28" s="3">
        <v>2823</v>
      </c>
      <c r="B28" s="3">
        <v>56</v>
      </c>
    </row>
    <row r="29" spans="1:2">
      <c r="A29" s="3">
        <v>2987</v>
      </c>
      <c r="B29" s="3">
        <v>132</v>
      </c>
    </row>
    <row r="30" spans="1:2">
      <c r="A30" s="3">
        <v>3020</v>
      </c>
      <c r="B30" s="3">
        <v>138</v>
      </c>
    </row>
    <row r="31" spans="1:2">
      <c r="A31" s="3">
        <v>3115</v>
      </c>
      <c r="B31" s="3">
        <v>164</v>
      </c>
    </row>
    <row r="32" spans="1:2">
      <c r="A32" s="3">
        <v>3135</v>
      </c>
      <c r="B32" s="3">
        <v>144</v>
      </c>
    </row>
    <row r="33" spans="1:2">
      <c r="A33" s="3">
        <v>3233</v>
      </c>
      <c r="B33" s="3">
        <v>137</v>
      </c>
    </row>
    <row r="34" spans="1:2">
      <c r="A34" s="3">
        <v>3315</v>
      </c>
      <c r="B34" s="3">
        <v>79</v>
      </c>
    </row>
    <row r="35" spans="1:2">
      <c r="A35" s="3">
        <v>3399</v>
      </c>
      <c r="B35" s="3">
        <v>75</v>
      </c>
    </row>
    <row r="36" spans="1:2">
      <c r="A36" s="3">
        <v>3468</v>
      </c>
      <c r="B36" s="3">
        <v>94</v>
      </c>
    </row>
    <row r="37" spans="1:2">
      <c r="A37" s="3">
        <v>3503</v>
      </c>
      <c r="B37" s="3">
        <v>121</v>
      </c>
    </row>
    <row r="38" spans="1:2">
      <c r="A38" s="3">
        <v>3557</v>
      </c>
      <c r="B38" s="3">
        <v>127</v>
      </c>
    </row>
    <row r="39" spans="1:2">
      <c r="A39" s="3">
        <v>3600</v>
      </c>
      <c r="B39" s="3">
        <v>139</v>
      </c>
    </row>
    <row r="40" spans="1:2">
      <c r="A40" s="3">
        <v>3650</v>
      </c>
      <c r="B40" s="3">
        <v>141</v>
      </c>
    </row>
    <row r="41" spans="1:2">
      <c r="A41" s="3">
        <v>3736</v>
      </c>
      <c r="B41" s="3">
        <v>84</v>
      </c>
    </row>
    <row r="42" spans="1:2">
      <c r="A42" s="3">
        <v>3747</v>
      </c>
      <c r="B42" s="3">
        <v>102</v>
      </c>
    </row>
    <row r="43" spans="1:2">
      <c r="A43" s="3">
        <v>3749</v>
      </c>
      <c r="B43" s="3">
        <v>121</v>
      </c>
    </row>
    <row r="44" spans="1:2">
      <c r="A44" s="3">
        <v>3753</v>
      </c>
      <c r="B44" s="3">
        <v>90</v>
      </c>
    </row>
    <row r="45" spans="1:2">
      <c r="A45" s="3">
        <v>3792</v>
      </c>
      <c r="B45" s="3">
        <v>111</v>
      </c>
    </row>
    <row r="46" spans="1:2">
      <c r="A46" s="3">
        <v>3926</v>
      </c>
      <c r="B46" s="3">
        <v>130</v>
      </c>
    </row>
    <row r="47" spans="1:2">
      <c r="A47" s="3">
        <v>3953</v>
      </c>
      <c r="B47" s="3">
        <v>123</v>
      </c>
    </row>
    <row r="48" spans="1:2">
      <c r="A48" s="3">
        <v>3980</v>
      </c>
      <c r="B48" s="3">
        <v>109</v>
      </c>
    </row>
    <row r="49" spans="1:2">
      <c r="A49" s="3">
        <v>4051</v>
      </c>
      <c r="B49" s="3">
        <v>126</v>
      </c>
    </row>
    <row r="50" spans="1:2">
      <c r="A50" s="3">
        <v>4064</v>
      </c>
      <c r="B50" s="3">
        <v>120</v>
      </c>
    </row>
    <row r="51" spans="1:2">
      <c r="A51" s="3">
        <v>4108</v>
      </c>
      <c r="B51" s="3">
        <v>159</v>
      </c>
    </row>
    <row r="52" spans="1:2">
      <c r="A52" s="3">
        <v>4230</v>
      </c>
      <c r="B52" s="3">
        <v>104</v>
      </c>
    </row>
    <row r="53" spans="1:2">
      <c r="A53" s="3">
        <v>4266</v>
      </c>
      <c r="B53" s="3">
        <v>111</v>
      </c>
    </row>
    <row r="54" spans="1:2">
      <c r="A54" s="3">
        <v>4351</v>
      </c>
      <c r="B54" s="3">
        <v>48</v>
      </c>
    </row>
    <row r="55" spans="1:2">
      <c r="A55" s="3">
        <v>4486</v>
      </c>
      <c r="B55" s="3">
        <v>95</v>
      </c>
    </row>
    <row r="56" spans="1:2">
      <c r="A56" s="3">
        <v>4521</v>
      </c>
      <c r="B56" s="3">
        <v>138</v>
      </c>
    </row>
    <row r="57" spans="1:2">
      <c r="A57" s="3">
        <v>4544</v>
      </c>
      <c r="B57" s="3">
        <v>310</v>
      </c>
    </row>
    <row r="58" spans="1:2">
      <c r="A58" s="3">
        <v>5004</v>
      </c>
      <c r="B58" s="3">
        <v>115</v>
      </c>
    </row>
    <row r="59" spans="1:2">
      <c r="A59" s="3">
        <v>5054</v>
      </c>
      <c r="B59" s="3">
        <v>133</v>
      </c>
    </row>
    <row r="60" spans="1:2">
      <c r="A60" s="3">
        <v>5206</v>
      </c>
      <c r="B60" s="3">
        <v>153</v>
      </c>
    </row>
    <row r="61" spans="1:2">
      <c r="A61" s="3"/>
      <c r="B61" s="3"/>
    </row>
    <row r="62" spans="1:2">
      <c r="A62" s="10"/>
      <c r="B62" s="10"/>
    </row>
    <row r="63" spans="1:2">
      <c r="A63" s="10"/>
      <c r="B63" s="10"/>
    </row>
    <row r="64" spans="1:2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</sheetData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1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33.7109375" customWidth="1"/>
  </cols>
  <sheetData>
    <row r="1" spans="1:7">
      <c r="A1" s="15" t="s">
        <v>423</v>
      </c>
      <c r="B1" s="15" t="s">
        <v>424</v>
      </c>
      <c r="C1" s="15" t="s">
        <v>425</v>
      </c>
      <c r="D1" s="15" t="s">
        <v>426</v>
      </c>
      <c r="E1" s="15" t="s">
        <v>427</v>
      </c>
      <c r="F1" s="15" t="s">
        <v>428</v>
      </c>
      <c r="G1" s="15" t="s">
        <v>429</v>
      </c>
    </row>
    <row r="2" spans="1:7">
      <c r="A2" s="16" t="s">
        <v>430</v>
      </c>
      <c r="B2" s="16" t="s">
        <v>431</v>
      </c>
      <c r="C2" s="16">
        <v>1826</v>
      </c>
      <c r="D2" s="16" t="s">
        <v>432</v>
      </c>
      <c r="E2" s="15">
        <v>2037</v>
      </c>
      <c r="F2" s="16" t="s">
        <v>433</v>
      </c>
      <c r="G2" s="16">
        <v>2234</v>
      </c>
    </row>
    <row r="3" spans="1:7">
      <c r="A3" s="16" t="s">
        <v>434</v>
      </c>
      <c r="B3" s="16" t="s">
        <v>435</v>
      </c>
      <c r="C3" s="16">
        <v>1853</v>
      </c>
      <c r="D3" s="16" t="s">
        <v>436</v>
      </c>
      <c r="E3" s="15">
        <v>2137</v>
      </c>
      <c r="F3" s="16" t="s">
        <v>437</v>
      </c>
      <c r="G3" s="16">
        <v>3184</v>
      </c>
    </row>
    <row r="4" spans="1:7">
      <c r="A4" s="16" t="s">
        <v>438</v>
      </c>
      <c r="B4" s="16" t="s">
        <v>439</v>
      </c>
      <c r="C4" s="16">
        <v>1250</v>
      </c>
      <c r="D4" s="16" t="s">
        <v>440</v>
      </c>
      <c r="E4" s="15">
        <v>1416</v>
      </c>
      <c r="F4" s="16" t="s">
        <v>441</v>
      </c>
      <c r="G4" s="16">
        <v>1641</v>
      </c>
    </row>
    <row r="5" spans="1:7">
      <c r="A5" s="16" t="s">
        <v>442</v>
      </c>
      <c r="B5" s="16" t="s">
        <v>443</v>
      </c>
      <c r="C5" s="16">
        <v>1901</v>
      </c>
      <c r="D5" s="16" t="s">
        <v>444</v>
      </c>
      <c r="E5" s="15">
        <v>2162</v>
      </c>
      <c r="F5" s="16" t="s">
        <v>445</v>
      </c>
      <c r="G5" s="16">
        <v>2384</v>
      </c>
    </row>
    <row r="6" spans="1:7">
      <c r="A6" s="16" t="s">
        <v>446</v>
      </c>
      <c r="B6" s="16" t="s">
        <v>447</v>
      </c>
      <c r="C6" s="16">
        <v>1842</v>
      </c>
      <c r="D6" s="16" t="s">
        <v>448</v>
      </c>
      <c r="E6" s="15">
        <v>2074</v>
      </c>
      <c r="F6" s="16" t="s">
        <v>449</v>
      </c>
      <c r="G6" s="16">
        <v>2290</v>
      </c>
    </row>
    <row r="7" spans="1:7">
      <c r="A7" s="16" t="s">
        <v>450</v>
      </c>
      <c r="B7" s="16" t="s">
        <v>435</v>
      </c>
      <c r="C7" s="16">
        <v>1853</v>
      </c>
      <c r="D7" s="16" t="s">
        <v>451</v>
      </c>
      <c r="E7" s="15">
        <v>2157</v>
      </c>
      <c r="F7" s="16" t="s">
        <v>452</v>
      </c>
      <c r="G7" s="16">
        <v>3305</v>
      </c>
    </row>
    <row r="8" spans="1:7">
      <c r="A8" s="16" t="s">
        <v>453</v>
      </c>
      <c r="B8" s="16" t="s">
        <v>454</v>
      </c>
      <c r="C8" s="16">
        <v>1240</v>
      </c>
      <c r="D8" s="16" t="s">
        <v>455</v>
      </c>
      <c r="E8" s="15">
        <v>1420</v>
      </c>
      <c r="F8" s="16" t="s">
        <v>456</v>
      </c>
      <c r="G8" s="16">
        <v>1657</v>
      </c>
    </row>
    <row r="9" spans="1:7">
      <c r="A9" s="16" t="s">
        <v>457</v>
      </c>
      <c r="B9" s="16" t="s">
        <v>458</v>
      </c>
      <c r="C9" s="16">
        <v>1870</v>
      </c>
      <c r="D9" s="16" t="s">
        <v>459</v>
      </c>
      <c r="E9" s="15">
        <v>2125</v>
      </c>
      <c r="F9" s="16" t="s">
        <v>460</v>
      </c>
      <c r="G9" s="16">
        <v>2359</v>
      </c>
    </row>
    <row r="10" spans="1:7">
      <c r="A10" s="16" t="s">
        <v>461</v>
      </c>
      <c r="B10" s="16" t="s">
        <v>462</v>
      </c>
      <c r="C10" s="16">
        <v>1861</v>
      </c>
      <c r="D10" s="16" t="s">
        <v>463</v>
      </c>
      <c r="E10" s="15">
        <v>2185</v>
      </c>
      <c r="F10" s="16" t="s">
        <v>464</v>
      </c>
      <c r="G10" s="16">
        <v>3347</v>
      </c>
    </row>
    <row r="11" spans="1:7">
      <c r="A11" s="16" t="s">
        <v>465</v>
      </c>
      <c r="B11" s="16" t="s">
        <v>466</v>
      </c>
      <c r="C11" s="16">
        <v>1239</v>
      </c>
      <c r="D11" s="16" t="s">
        <v>467</v>
      </c>
      <c r="E11" s="15">
        <v>1419</v>
      </c>
      <c r="F11" s="16" t="s">
        <v>468</v>
      </c>
      <c r="G11" s="16">
        <v>1667</v>
      </c>
    </row>
    <row r="12" spans="1:7">
      <c r="A12" s="16" t="s">
        <v>469</v>
      </c>
      <c r="B12" s="16" t="s">
        <v>470</v>
      </c>
      <c r="C12" s="16">
        <v>1475</v>
      </c>
      <c r="D12" s="16" t="s">
        <v>471</v>
      </c>
      <c r="E12" s="15">
        <v>1722</v>
      </c>
      <c r="F12" s="16" t="s">
        <v>472</v>
      </c>
      <c r="G12" s="16">
        <v>1960</v>
      </c>
    </row>
    <row r="13" spans="1:7">
      <c r="A13" s="16" t="s">
        <v>473</v>
      </c>
      <c r="B13" s="16" t="s">
        <v>474</v>
      </c>
      <c r="C13" s="16">
        <v>1705</v>
      </c>
      <c r="D13" s="16" t="s">
        <v>475</v>
      </c>
      <c r="E13" s="15">
        <v>2019</v>
      </c>
      <c r="F13" s="16" t="s">
        <v>476</v>
      </c>
      <c r="G13" s="16">
        <v>2304</v>
      </c>
    </row>
    <row r="14" spans="1:7">
      <c r="A14" s="16" t="s">
        <v>477</v>
      </c>
      <c r="B14" s="16" t="s">
        <v>444</v>
      </c>
      <c r="C14" s="16">
        <v>212</v>
      </c>
      <c r="D14" s="16" t="s">
        <v>478</v>
      </c>
      <c r="E14" s="15">
        <v>498</v>
      </c>
      <c r="F14" s="16" t="s">
        <v>479</v>
      </c>
      <c r="G14" s="16">
        <v>767</v>
      </c>
    </row>
    <row r="15" spans="1:7">
      <c r="A15" s="17"/>
      <c r="B15" s="17"/>
      <c r="C15" s="17"/>
      <c r="D15" s="17"/>
      <c r="E15" s="17"/>
      <c r="F15" s="17"/>
      <c r="G15" s="17"/>
    </row>
    <row r="16" spans="1:7">
      <c r="A16" s="17"/>
      <c r="B16" s="17"/>
      <c r="C16" s="17"/>
      <c r="D16" s="17"/>
      <c r="E16" s="17"/>
      <c r="F16" s="17"/>
      <c r="G16" s="17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 Snyderman</cp:lastModifiedBy>
  <cp:revision/>
  <dcterms:created xsi:type="dcterms:W3CDTF">2026-03-30T17:45:22Z</dcterms:created>
  <dcterms:modified xsi:type="dcterms:W3CDTF">2026-05-24T13:39:30Z</dcterms:modified>
  <cp:category/>
  <cp:contentStatus/>
</cp:coreProperties>
</file>